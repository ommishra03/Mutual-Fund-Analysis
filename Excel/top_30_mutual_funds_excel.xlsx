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914\Desktop\mutual-fund-analysis-Dashboard-Python-PowerBI-main\"/>
    </mc:Choice>
  </mc:AlternateContent>
  <xr:revisionPtr revIDLastSave="0" documentId="13_ncr:1_{A68B097C-BD96-4621-B9EF-281D036023A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  <sheet name="Insights_Summary" sheetId="2" r:id="rId2"/>
  </sheets>
  <definedNames>
    <definedName name="_xlnm._FilterDatabase" localSheetId="0" hidden="1">Worksheet!$P$1:$P$31</definedName>
  </definedNames>
  <calcPr calcId="191029"/>
  <pivotCaches>
    <pivotCache cacheId="0" r:id="rId3"/>
    <pivotCache cacheId="1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2" i="1"/>
  <c r="Y31" i="1"/>
  <c r="X31" i="1"/>
  <c r="Z31" i="1" s="1"/>
  <c r="V31" i="1"/>
  <c r="Y30" i="1"/>
  <c r="X30" i="1"/>
  <c r="Z30" i="1" s="1"/>
  <c r="V30" i="1"/>
  <c r="Y29" i="1"/>
  <c r="X29" i="1"/>
  <c r="Z29" i="1" s="1"/>
  <c r="V29" i="1"/>
  <c r="Y28" i="1"/>
  <c r="X28" i="1"/>
  <c r="Z28" i="1" s="1"/>
  <c r="V28" i="1"/>
  <c r="Y27" i="1"/>
  <c r="X27" i="1"/>
  <c r="Z27" i="1" s="1"/>
  <c r="V27" i="1"/>
  <c r="Y26" i="1"/>
  <c r="X26" i="1"/>
  <c r="Z26" i="1" s="1"/>
  <c r="V26" i="1"/>
  <c r="Y25" i="1"/>
  <c r="X25" i="1"/>
  <c r="Z25" i="1" s="1"/>
  <c r="V25" i="1"/>
  <c r="Y24" i="1"/>
  <c r="X24" i="1"/>
  <c r="Z24" i="1" s="1"/>
  <c r="V24" i="1"/>
  <c r="Y23" i="1"/>
  <c r="X23" i="1"/>
  <c r="Z23" i="1" s="1"/>
  <c r="V23" i="1"/>
  <c r="Y22" i="1"/>
  <c r="X22" i="1"/>
  <c r="Z22" i="1" s="1"/>
  <c r="V22" i="1"/>
  <c r="Y21" i="1"/>
  <c r="X21" i="1"/>
  <c r="Z21" i="1" s="1"/>
  <c r="V21" i="1"/>
  <c r="Y20" i="1"/>
  <c r="X20" i="1"/>
  <c r="Z20" i="1" s="1"/>
  <c r="V20" i="1"/>
  <c r="Y19" i="1"/>
  <c r="X19" i="1"/>
  <c r="Z19" i="1" s="1"/>
  <c r="V19" i="1"/>
  <c r="Y18" i="1"/>
  <c r="X18" i="1"/>
  <c r="Z18" i="1" s="1"/>
  <c r="V18" i="1"/>
  <c r="Y17" i="1"/>
  <c r="X17" i="1"/>
  <c r="Z17" i="1" s="1"/>
  <c r="V17" i="1"/>
  <c r="Y16" i="1"/>
  <c r="X16" i="1"/>
  <c r="Z16" i="1" s="1"/>
  <c r="V16" i="1"/>
  <c r="Y15" i="1"/>
  <c r="X15" i="1"/>
  <c r="Z15" i="1" s="1"/>
  <c r="V15" i="1"/>
  <c r="Y14" i="1"/>
  <c r="X14" i="1"/>
  <c r="Z14" i="1" s="1"/>
  <c r="V14" i="1"/>
  <c r="Y13" i="1"/>
  <c r="X13" i="1"/>
  <c r="Z13" i="1" s="1"/>
  <c r="V13" i="1"/>
  <c r="Y12" i="1"/>
  <c r="X12" i="1"/>
  <c r="Z12" i="1" s="1"/>
  <c r="V12" i="1"/>
  <c r="Y11" i="1"/>
  <c r="X11" i="1"/>
  <c r="Z11" i="1" s="1"/>
  <c r="V11" i="1"/>
  <c r="Y10" i="1"/>
  <c r="X10" i="1"/>
  <c r="Z10" i="1" s="1"/>
  <c r="V10" i="1"/>
  <c r="Y9" i="1"/>
  <c r="X9" i="1"/>
  <c r="Z9" i="1" s="1"/>
  <c r="V9" i="1"/>
  <c r="Y8" i="1"/>
  <c r="X8" i="1"/>
  <c r="Z8" i="1" s="1"/>
  <c r="V8" i="1"/>
  <c r="Y7" i="1"/>
  <c r="X7" i="1"/>
  <c r="Z7" i="1" s="1"/>
  <c r="V7" i="1"/>
  <c r="Y6" i="1"/>
  <c r="X6" i="1"/>
  <c r="Z6" i="1" s="1"/>
  <c r="V6" i="1"/>
  <c r="Y5" i="1"/>
  <c r="X5" i="1"/>
  <c r="Z5" i="1" s="1"/>
  <c r="V5" i="1"/>
  <c r="Y4" i="1"/>
  <c r="X4" i="1"/>
  <c r="Z4" i="1" s="1"/>
  <c r="V4" i="1"/>
  <c r="Y3" i="1"/>
  <c r="X3" i="1"/>
  <c r="Z3" i="1" s="1"/>
  <c r="V3" i="1"/>
  <c r="Y2" i="1"/>
  <c r="X2" i="1"/>
  <c r="Z2" i="1" s="1"/>
  <c r="V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</calcChain>
</file>

<file path=xl/sharedStrings.xml><?xml version="1.0" encoding="utf-8"?>
<sst xmlns="http://schemas.openxmlformats.org/spreadsheetml/2006/main" count="307" uniqueCount="138">
  <si>
    <t>scheme_name</t>
  </si>
  <si>
    <t>min_sip</t>
  </si>
  <si>
    <t>min_lumpsum</t>
  </si>
  <si>
    <t>expense_ratio</t>
  </si>
  <si>
    <t>fund_size_cr</t>
  </si>
  <si>
    <t>fund_age_yr</t>
  </si>
  <si>
    <t>fund_manager</t>
  </si>
  <si>
    <t>alpha</t>
  </si>
  <si>
    <t>beta</t>
  </si>
  <si>
    <t>sharpe</t>
  </si>
  <si>
    <t>risk_level</t>
  </si>
  <si>
    <t>amc_name</t>
  </si>
  <si>
    <t>rating</t>
  </si>
  <si>
    <t>category</t>
  </si>
  <si>
    <t>sub_category</t>
  </si>
  <si>
    <t>returns_1yr</t>
  </si>
  <si>
    <t>returns_3yr</t>
  </si>
  <si>
    <t>returns_5yr</t>
  </si>
  <si>
    <t>Quant Small Cap Fund</t>
  </si>
  <si>
    <t>Quant Infrastructure Fund</t>
  </si>
  <si>
    <t>Quant Tax Plan- Direct Growth</t>
  </si>
  <si>
    <t>Quant Multi Asset Fund</t>
  </si>
  <si>
    <t>Quant Flexi Cap Fund</t>
  </si>
  <si>
    <t>Quant Absolute Fund</t>
  </si>
  <si>
    <t>Quant Active Fund</t>
  </si>
  <si>
    <t>Quant Mid Cap Fund</t>
  </si>
  <si>
    <t>PGIM India Midcap Opportunities Fund</t>
  </si>
  <si>
    <t>Tata Small Cap Fund</t>
  </si>
  <si>
    <t>SBI Contra Fund</t>
  </si>
  <si>
    <t>Canara Robeco Small Cap Fund</t>
  </si>
  <si>
    <t>Nippon India Small Cap Fund</t>
  </si>
  <si>
    <t>AXIS Small Cap Fund</t>
  </si>
  <si>
    <t>Kotak Small Cap Fund</t>
  </si>
  <si>
    <t>Kotak Multi Asset Allocator FoF – Dynamic – Direct Growth</t>
  </si>
  <si>
    <t>Tata Digital India Fund</t>
  </si>
  <si>
    <t>Kotak India Growth Fund</t>
  </si>
  <si>
    <t>ICICI Pru Thematic Advantage Fund</t>
  </si>
  <si>
    <t>Kotak Infrastructure &amp; Ecoc. Reform-SP-DirGrowth</t>
  </si>
  <si>
    <t>AXIS FTP – Series 104 – 1112Days</t>
  </si>
  <si>
    <t>ICICI Pru BHARAT 22 FOF  – Direct Growth</t>
  </si>
  <si>
    <t>ICICI Pru Asset Allocator Fund</t>
  </si>
  <si>
    <t>ICICI Pru Smallcap Fund</t>
  </si>
  <si>
    <t>HSBC Small Cap Fund</t>
  </si>
  <si>
    <t>ICICI Pru Dividend Yield Equity Fund</t>
  </si>
  <si>
    <t>SBI Small Cap Fund</t>
  </si>
  <si>
    <t>HDFC Retirement Savings Fund</t>
  </si>
  <si>
    <t>HDFC Small Cap Fund</t>
  </si>
  <si>
    <t>Parag Parikh Flexi Cap Fund</t>
  </si>
  <si>
    <t>Sanjeev Sharma</t>
  </si>
  <si>
    <t>Vasav Sahgal</t>
  </si>
  <si>
    <t>Aniruddha Naha</t>
  </si>
  <si>
    <t>Chandraprakash Padiyar</t>
  </si>
  <si>
    <t>Dinesh Balachandran</t>
  </si>
  <si>
    <t>Shridatta Bhandwaldar</t>
  </si>
  <si>
    <t>Samir Rachh</t>
  </si>
  <si>
    <t>Anupam Tiwari</t>
  </si>
  <si>
    <t>Pankaj Tibrewal</t>
  </si>
  <si>
    <t>Devender Singhal</t>
  </si>
  <si>
    <t>Meeta Shetty</t>
  </si>
  <si>
    <t>Dharmesh Kakkad</t>
  </si>
  <si>
    <t>Harish Krishnan</t>
  </si>
  <si>
    <t>Devang Shah</t>
  </si>
  <si>
    <t>Kayzad Eghlim</t>
  </si>
  <si>
    <t>Harish Bihani</t>
  </si>
  <si>
    <t>Venugopal Manghat</t>
  </si>
  <si>
    <t>Mittul Kalawadia</t>
  </si>
  <si>
    <t>R Srinivasan</t>
  </si>
  <si>
    <t>Srinivasan Ramamurthy</t>
  </si>
  <si>
    <t>Chirag Setalvad</t>
  </si>
  <si>
    <t>Rajeev Thakkar</t>
  </si>
  <si>
    <t>Quant Mutual Fund</t>
  </si>
  <si>
    <t>PGIM India Mutual Fund</t>
  </si>
  <si>
    <t>Tata Mutual Fund</t>
  </si>
  <si>
    <t>SBI Mutual Fund</t>
  </si>
  <si>
    <t>Canara Robeco Mutual Fund</t>
  </si>
  <si>
    <t>Nippon India Mutual Fund</t>
  </si>
  <si>
    <t>Axis Mutual Fund</t>
  </si>
  <si>
    <t>Kotak Mahindra Mutual Fund</t>
  </si>
  <si>
    <t>ICICI Prudential Mutual Fund</t>
  </si>
  <si>
    <t>HSBC Mutual Fund</t>
  </si>
  <si>
    <t>HDFC Mutual Fund</t>
  </si>
  <si>
    <t>PPFAS Mutual Fund</t>
  </si>
  <si>
    <t>Equity</t>
  </si>
  <si>
    <t>Hybrid</t>
  </si>
  <si>
    <t>Other</t>
  </si>
  <si>
    <t>Debt</t>
  </si>
  <si>
    <t>Solution Oriented</t>
  </si>
  <si>
    <t>Small Cap Mutual Funds</t>
  </si>
  <si>
    <t>Sectoral / Thematic Mutual Funds</t>
  </si>
  <si>
    <t>ELSS Mutual Funds</t>
  </si>
  <si>
    <t>Multi Asset Allocation Mutual Funds</t>
  </si>
  <si>
    <t>Flexi Cap Funds</t>
  </si>
  <si>
    <t>Aggressive Hybrid Mutual Funds</t>
  </si>
  <si>
    <t>Multi Cap Funds</t>
  </si>
  <si>
    <t>Mid Cap Mutual Funds</t>
  </si>
  <si>
    <t>Contra Funds</t>
  </si>
  <si>
    <t>FoFs Domestic</t>
  </si>
  <si>
    <t>Fixed Maturity Plans</t>
  </si>
  <si>
    <t>Dividend Yield Funds</t>
  </si>
  <si>
    <t>Retirement Funds</t>
  </si>
  <si>
    <t>sortino_ratio</t>
  </si>
  <si>
    <t>standard_deviation</t>
  </si>
  <si>
    <t>Row Labels</t>
  </si>
  <si>
    <t>Grand Total</t>
  </si>
  <si>
    <t>Count of scheme_name</t>
  </si>
  <si>
    <t>Average of fund_size_cr</t>
  </si>
  <si>
    <t>Average of expense_ratio</t>
  </si>
  <si>
    <t>Average of Composite_Score</t>
  </si>
  <si>
    <t>Max of Composite_Score</t>
  </si>
  <si>
    <t>Max of returns_5yr</t>
  </si>
  <si>
    <t>Max of sharpe</t>
  </si>
  <si>
    <t>Average of standard_deviation</t>
  </si>
  <si>
    <t>Fund Overview to show the scale, cost and performance by asset class</t>
  </si>
  <si>
    <t>Top Performing Funds</t>
  </si>
  <si>
    <t>Average of Risk-Adjusted Return Score</t>
  </si>
  <si>
    <t>Average of returns_5yr</t>
  </si>
  <si>
    <t>Average of sharpe</t>
  </si>
  <si>
    <t>Explains why higher risk doesn’t always mean better returns.</t>
  </si>
  <si>
    <t>AMC-level due diligence</t>
  </si>
  <si>
    <t>Average of Cost Efficiency Score</t>
  </si>
  <si>
    <t>Links expense ratio -&gt; performance</t>
  </si>
  <si>
    <t>Average of returns_1yr</t>
  </si>
  <si>
    <t>Separates momentum funds from reliable performers.</t>
  </si>
  <si>
    <t>investor recommendation engine</t>
  </si>
  <si>
    <t>Average of Fund Stability</t>
  </si>
  <si>
    <t>Debunks or confirms the “old fund = safe fund” myth.</t>
  </si>
  <si>
    <t>investor risk profiling</t>
  </si>
  <si>
    <t>Do star ratings align with actual performance?</t>
  </si>
  <si>
    <t>risk_bucket</t>
  </si>
  <si>
    <t>risk-adjusted return score</t>
  </si>
  <si>
    <t>cost efficiency score</t>
  </si>
  <si>
    <t>consistency score</t>
  </si>
  <si>
    <t>fund stability</t>
  </si>
  <si>
    <t>composite_score</t>
  </si>
  <si>
    <t>High Risk</t>
  </si>
  <si>
    <t>Low Risk</t>
  </si>
  <si>
    <t>Moderate</t>
  </si>
  <si>
    <t>Moderately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</si>
</sst>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7"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14" refreshedDate="46020.503237731478" createdVersion="8" refreshedVersion="8" minRefreshableVersion="3" recordCount="30" xr:uid="{4C010B5F-27C2-48E6-B0DE-F48E62312894}">
  <cacheSource type="worksheet">
    <worksheetSource ref="A1:Z31" sheet="Worksheet"/>
  </cacheSource>
  <cacheFields count="25">
    <cacheField name="scheme_name" numFmtId="0">
      <sharedItems count="30">
        <s v="Quant Active Fund"/>
        <s v="Kotak Multi Asset Allocator FoF – Dynamic – Direct Growth"/>
        <s v="Tata Digital India Fund"/>
        <s v="Kotak India Growth Fund"/>
        <s v="ICICI Pru Thematic Advantage Fund"/>
        <s v="AXIS FTP – Series 104 – 1112Days"/>
        <s v="ICICI Pru Dividend Yield Equity Fund"/>
        <s v="ICICI Pru Smallcap Fund"/>
        <s v="HSBC Small Cap Fund"/>
        <s v="HDFC Small Cap Fund"/>
        <s v="Tata Small Cap Fund"/>
        <s v="Nippon India Small Cap Fund"/>
        <s v="Kotak Small Cap Fund"/>
        <s v="Kotak Infrastructure &amp; Ecoc. Reform-SP-DirGrowth"/>
        <s v="ICICI Pru Asset Allocator Fund"/>
        <s v="SBI Small Cap Fund"/>
        <s v="Quant Small Cap Fund"/>
        <s v="Quant Infrastructure Fund"/>
        <s v="Quant Tax Plan- Direct Growth"/>
        <s v="Quant Multi Asset Fund"/>
        <s v="Quant Flexi Cap Fund"/>
        <s v="Quant Absolute Fund"/>
        <s v="Quant Mid Cap Fund"/>
        <s v="PGIM India Midcap Opportunities Fund"/>
        <s v="SBI Contra Fund"/>
        <s v="Canara Robeco Small Cap Fund"/>
        <s v="AXIS Small Cap Fund"/>
        <s v="ICICI Pru BHARAT 22 FOF  – Direct Growth"/>
        <s v="HDFC Retirement Savings Fund"/>
        <s v="Parag Parikh Flexi Cap Fund"/>
      </sharedItems>
    </cacheField>
    <cacheField name="min_sip" numFmtId="1">
      <sharedItems containsSemiMixedTypes="0" containsString="0" containsNumber="1" containsInteger="1" minValue="0" maxValue="1000"/>
    </cacheField>
    <cacheField name="min_lumpsum" numFmtId="1">
      <sharedItems containsSemiMixedTypes="0" containsString="0" containsNumber="1" containsInteger="1" minValue="0" maxValue="5000"/>
    </cacheField>
    <cacheField name="expense_ratio" numFmtId="2">
      <sharedItems containsSemiMixedTypes="0" containsString="0" containsNumber="1" minValue="0.08" maxValue="1"/>
    </cacheField>
    <cacheField name="fund_size_cr" numFmtId="1">
      <sharedItems containsSemiMixedTypes="0" containsString="0" containsNumber="1" containsInteger="1" minValue="89" maxValue="29953"/>
    </cacheField>
    <cacheField name="fund_age_yr" numFmtId="1">
      <sharedItems containsSemiMixedTypes="0" containsString="0" containsNumber="1" containsInteger="1" minValue="4" maxValue="10"/>
    </cacheField>
    <cacheField name="fund_manager" numFmtId="0">
      <sharedItems/>
    </cacheField>
    <cacheField name="sortino_ratio" numFmtId="2">
      <sharedItems containsSemiMixedTypes="0" containsString="0" containsNumber="1" minValue="2.29" maxValue="7.27"/>
    </cacheField>
    <cacheField name="alpha" numFmtId="2">
      <sharedItems containsSemiMixedTypes="0" containsString="0" containsNumber="1" minValue="5.29" maxValue="27.24"/>
    </cacheField>
    <cacheField name="standard_deviation" numFmtId="2">
      <sharedItems containsSemiMixedTypes="0" containsString="0" containsNumber="1" minValue="1.4522013940527982" maxValue="27.88085763067955"/>
    </cacheField>
    <cacheField name="beta" numFmtId="2">
      <sharedItems containsSemiMixedTypes="0" containsString="0" containsNumber="1" minValue="0.53" maxValue="2.36"/>
    </cacheField>
    <cacheField name="sharpe" numFmtId="2">
      <sharedItems containsSemiMixedTypes="0" containsString="0" containsNumber="1" minValue="1.37" maxValue="2.2999999999999998"/>
    </cacheField>
    <cacheField name="risk_level" numFmtId="1">
      <sharedItems containsSemiMixedTypes="0" containsString="0" containsNumber="1" containsInteger="1" minValue="2" maxValue="6"/>
    </cacheField>
    <cacheField name="amc_name" numFmtId="0">
      <sharedItems/>
    </cacheField>
    <cacheField name="rating" numFmtId="1">
      <sharedItems containsSemiMixedTypes="0" containsString="0" containsNumber="1" containsInteger="1" minValue="0" maxValue="5"/>
    </cacheField>
    <cacheField name="category" numFmtId="0">
      <sharedItems count="5">
        <s v="Equity"/>
        <s v="Other"/>
        <s v="Debt"/>
        <s v="Hybrid"/>
        <s v="Solution Oriented"/>
      </sharedItems>
    </cacheField>
    <cacheField name="sub_category" numFmtId="0">
      <sharedItems/>
    </cacheField>
    <cacheField name="returns_1yr" numFmtId="2">
      <sharedItems containsSemiMixedTypes="0" containsString="0" containsNumber="1" minValue="-16" maxValue="23.2"/>
    </cacheField>
    <cacheField name="returns_3yr" numFmtId="2">
      <sharedItems containsSemiMixedTypes="0" containsString="0" containsNumber="1" minValue="14.5" maxValue="71.400000000000006"/>
    </cacheField>
    <cacheField name="returns_5yr" numFmtId="2">
      <sharedItems containsSemiMixedTypes="0" containsString="0" containsNumber="1" minValue="9.4907264296754246" maxValue="23.2"/>
    </cacheField>
    <cacheField name="Risk-Adjusted Return Score" numFmtId="2">
      <sharedItems containsSemiMixedTypes="0" containsString="0" containsNumber="1" minValue="1.9456681350954481E-2" maxValue="0.44612476370510395"/>
    </cacheField>
    <cacheField name="Cost Efficiency Score" numFmtId="2">
      <sharedItems containsSemiMixedTypes="0" containsString="0" containsNumber="1" minValue="1" maxValue="12.5"/>
    </cacheField>
    <cacheField name="Consistency Score" numFmtId="2">
      <sharedItems containsSemiMixedTypes="0" containsString="0" containsNumber="1" minValue="11.5" maxValue="38.400000000000006"/>
    </cacheField>
    <cacheField name="Fund Stability" numFmtId="1">
      <sharedItems containsSemiMixedTypes="0" containsString="0" containsNumber="1" minValue="7.12" maxValue="22464.75"/>
    </cacheField>
    <cacheField name="Composite_Score" numFmtId="2">
      <sharedItems containsSemiMixedTypes="0" containsString="0" containsNumber="1" minValue="4.3783709677419358" maxValue="11.390875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14" refreshedDate="46020.672363773148" createdVersion="8" refreshedVersion="8" minRefreshableVersion="3" recordCount="30" xr:uid="{3923D068-7E50-4086-AB25-21FBEC71075A}">
  <cacheSource type="worksheet">
    <worksheetSource name="Table2"/>
  </cacheSource>
  <cacheFields count="26">
    <cacheField name="scheme_name" numFmtId="0">
      <sharedItems/>
    </cacheField>
    <cacheField name="min_sip" numFmtId="1">
      <sharedItems containsSemiMixedTypes="0" containsString="0" containsNumber="1" containsInteger="1" minValue="0" maxValue="1000"/>
    </cacheField>
    <cacheField name="min_lumpsum" numFmtId="1">
      <sharedItems containsSemiMixedTypes="0" containsString="0" containsNumber="1" containsInteger="1" minValue="0" maxValue="5000"/>
    </cacheField>
    <cacheField name="expense_ratio" numFmtId="2">
      <sharedItems containsSemiMixedTypes="0" containsString="0" containsNumber="1" minValue="0.08" maxValue="1"/>
    </cacheField>
    <cacheField name="fund_size_cr" numFmtId="1">
      <sharedItems containsSemiMixedTypes="0" containsString="0" containsNumber="1" containsInteger="1" minValue="89" maxValue="29953"/>
    </cacheField>
    <cacheField name="fund_age_yr" numFmtId="1">
      <sharedItems containsSemiMixedTypes="0" containsString="0" containsNumber="1" containsInteger="1" minValue="4" maxValue="10" count="5">
        <n v="10"/>
        <n v="7"/>
        <n v="5"/>
        <n v="4"/>
        <n v="9"/>
      </sharedItems>
    </cacheField>
    <cacheField name="fund_manager" numFmtId="0">
      <sharedItems/>
    </cacheField>
    <cacheField name="sortino_ratio" numFmtId="2">
      <sharedItems containsSemiMixedTypes="0" containsString="0" containsNumber="1" minValue="2.29" maxValue="7.27"/>
    </cacheField>
    <cacheField name="alpha" numFmtId="2">
      <sharedItems containsSemiMixedTypes="0" containsString="0" containsNumber="1" minValue="5.29" maxValue="27.24"/>
    </cacheField>
    <cacheField name="standard_deviation" numFmtId="2">
      <sharedItems containsSemiMixedTypes="0" containsString="0" containsNumber="1" minValue="1.4522013940527982" maxValue="27.88085763067955"/>
    </cacheField>
    <cacheField name="beta" numFmtId="2">
      <sharedItems containsSemiMixedTypes="0" containsString="0" containsNumber="1" minValue="0.53" maxValue="2.36"/>
    </cacheField>
    <cacheField name="sharpe" numFmtId="2">
      <sharedItems containsSemiMixedTypes="0" containsString="0" containsNumber="1" minValue="1.37" maxValue="2.2999999999999998"/>
    </cacheField>
    <cacheField name="risk_level" numFmtId="1">
      <sharedItems containsSemiMixedTypes="0" containsString="0" containsNumber="1" containsInteger="1" minValue="2" maxValue="6" count="4">
        <n v="6"/>
        <n v="5"/>
        <n v="2"/>
        <n v="4"/>
      </sharedItems>
    </cacheField>
    <cacheField name="risk_bucket" numFmtId="1">
      <sharedItems count="4">
        <s v="High Risk"/>
        <s v="Moderate"/>
        <s v="Low Risk"/>
        <s v="Moderately Low"/>
      </sharedItems>
    </cacheField>
    <cacheField name="amc_name" numFmtId="0">
      <sharedItems count="12">
        <s v="Quant Mutual Fund"/>
        <s v="Kotak Mahindra Mutual Fund"/>
        <s v="Tata Mutual Fund"/>
        <s v="ICICI Prudential Mutual Fund"/>
        <s v="Axis Mutual Fund"/>
        <s v="HSBC Mutual Fund"/>
        <s v="HDFC Mutual Fund"/>
        <s v="Nippon India Mutual Fund"/>
        <s v="SBI Mutual Fund"/>
        <s v="PGIM India Mutual Fund"/>
        <s v="Canara Robeco Mutual Fund"/>
        <s v="PPFAS Mutual Fund"/>
      </sharedItems>
    </cacheField>
    <cacheField name="rating" numFmtId="1">
      <sharedItems containsSemiMixedTypes="0" containsString="0" containsNumber="1" containsInteger="1" minValue="0" maxValue="5" count="4">
        <n v="0"/>
        <n v="3"/>
        <n v="4"/>
        <n v="5"/>
      </sharedItems>
    </cacheField>
    <cacheField name="category" numFmtId="0">
      <sharedItems count="5">
        <s v="Equity"/>
        <s v="Other"/>
        <s v="Debt"/>
        <s v="Hybrid"/>
        <s v="Solution Oriented"/>
      </sharedItems>
    </cacheField>
    <cacheField name="sub_category" numFmtId="0">
      <sharedItems count="13">
        <s v="Multi Cap Funds"/>
        <s v="FoFs Domestic"/>
        <s v="Sectoral / Thematic Mutual Funds"/>
        <s v="Fixed Maturity Plans"/>
        <s v="Dividend Yield Funds"/>
        <s v="Small Cap Mutual Funds"/>
        <s v="ELSS Mutual Funds"/>
        <s v="Multi Asset Allocation Mutual Funds"/>
        <s v="Flexi Cap Funds"/>
        <s v="Aggressive Hybrid Mutual Funds"/>
        <s v="Mid Cap Mutual Funds"/>
        <s v="Contra Funds"/>
        <s v="Retirement Funds"/>
      </sharedItems>
    </cacheField>
    <cacheField name="returns_1yr" numFmtId="2">
      <sharedItems containsSemiMixedTypes="0" containsString="0" containsNumber="1" minValue="-16" maxValue="23.2"/>
    </cacheField>
    <cacheField name="returns_3yr" numFmtId="2">
      <sharedItems containsSemiMixedTypes="0" containsString="0" containsNumber="1" minValue="14.5" maxValue="71.400000000000006"/>
    </cacheField>
    <cacheField name="returns_5yr" numFmtId="2">
      <sharedItems containsSemiMixedTypes="0" containsString="0" containsNumber="1" minValue="9.4907264296754246" maxValue="23.2"/>
    </cacheField>
    <cacheField name="risk-adjusted return score" numFmtId="2">
      <sharedItems containsSemiMixedTypes="0" containsString="0" containsNumber="1" minValue="1.9456681350954481E-2" maxValue="0.44612476370510395"/>
    </cacheField>
    <cacheField name="cost efficiency score" numFmtId="2">
      <sharedItems containsSemiMixedTypes="0" containsString="0" containsNumber="1" minValue="1" maxValue="12.5"/>
    </cacheField>
    <cacheField name="consistency score" numFmtId="2">
      <sharedItems containsSemiMixedTypes="0" containsString="0" containsNumber="1" minValue="11.5" maxValue="38.400000000000006"/>
    </cacheField>
    <cacheField name="fund stability" numFmtId="1">
      <sharedItems containsSemiMixedTypes="0" containsString="0" containsNumber="1" minValue="7.12" maxValue="22464.75"/>
    </cacheField>
    <cacheField name="composite_score" numFmtId="2">
      <sharedItems containsSemiMixedTypes="0" containsString="0" containsNumber="1" minValue="4.3783709677419358" maxValue="11.390875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n v="1000"/>
    <n v="5000"/>
    <n v="0.57999999999999996"/>
    <n v="3531"/>
    <n v="10"/>
    <s v="Sanjeev Sharma"/>
    <n v="3.33"/>
    <n v="13.82"/>
    <n v="18.235557451187372"/>
    <n v="0.97"/>
    <n v="1.87"/>
    <n v="6"/>
    <s v="Quant Mutual Fund"/>
    <n v="0"/>
    <x v="0"/>
    <s v="Multi Cap Funds"/>
    <n v="1"/>
    <n v="45.5"/>
    <n v="19.899999999999999"/>
    <n v="7.0188133140376266E-2"/>
    <n v="1.7241379310344829"/>
    <n v="23.25"/>
    <n v="2047.9799999999998"/>
    <n v="7.6841206896551721"/>
  </r>
  <r>
    <x v="1"/>
    <n v="1000"/>
    <n v="5000"/>
    <n v="0.13"/>
    <n v="783"/>
    <n v="10"/>
    <s v="Devender Singhal"/>
    <n v="4.33"/>
    <n v="8.0399999999999991"/>
    <n v="5.7863824815010494"/>
    <n v="0.7"/>
    <n v="1.91"/>
    <n v="5"/>
    <s v="Kotak Mahindra Mutual Fund"/>
    <n v="0"/>
    <x v="1"/>
    <s v="FoFs Domestic"/>
    <n v="11.2"/>
    <n v="25"/>
    <n v="15.3"/>
    <n v="8.7064676616915429E-2"/>
    <n v="7.6923076923076916"/>
    <n v="18.100000000000001"/>
    <n v="101.79"/>
    <n v="7.2333461538461545"/>
  </r>
  <r>
    <x v="2"/>
    <n v="150"/>
    <n v="5000"/>
    <n v="0.31"/>
    <n v="6765"/>
    <n v="7"/>
    <s v="Meeta Shetty"/>
    <n v="2.29"/>
    <n v="6.11"/>
    <n v="23.002946671145317"/>
    <n v="0.92"/>
    <n v="1.37"/>
    <n v="6"/>
    <s v="Tata Mutual Fund"/>
    <n v="0"/>
    <x v="0"/>
    <s v="Sectoral / Thematic Mutual Funds"/>
    <n v="-16"/>
    <n v="39"/>
    <n v="22.1"/>
    <n v="0.15057283142389524"/>
    <n v="3.2258064516129035"/>
    <n v="11.5"/>
    <n v="2097.15"/>
    <n v="4.3783709677419358"/>
  </r>
  <r>
    <x v="3"/>
    <n v="0"/>
    <n v="5000"/>
    <n v="0.34"/>
    <n v="90"/>
    <n v="5"/>
    <s v="Devender Singhal"/>
    <n v="3.71"/>
    <n v="7.67"/>
    <n v="12.71543244338242"/>
    <n v="0.95"/>
    <n v="1.75"/>
    <n v="6"/>
    <s v="Kotak Mahindra Mutual Fund"/>
    <n v="0"/>
    <x v="0"/>
    <s v="Multi Cap Funds"/>
    <n v="4.8"/>
    <n v="35.5"/>
    <n v="15.6"/>
    <n v="0.12385919165580182"/>
    <n v="2.9411764705882351"/>
    <n v="20.149999999999999"/>
    <n v="30.6"/>
    <n v="6.6906764705882358"/>
  </r>
  <r>
    <x v="4"/>
    <n v="1000"/>
    <n v="5000"/>
    <n v="0.25"/>
    <n v="958"/>
    <n v="10"/>
    <s v="Dharmesh Kakkad"/>
    <n v="4.13"/>
    <n v="6.63"/>
    <n v="12.548926470242609"/>
    <n v="0.98"/>
    <n v="1.63"/>
    <n v="6"/>
    <s v="ICICI Prudential Mutual Fund"/>
    <n v="0"/>
    <x v="1"/>
    <s v="FoFs Domestic"/>
    <n v="5.4"/>
    <n v="35.4"/>
    <n v="14.6"/>
    <n v="0.14781297134238311"/>
    <n v="4"/>
    <n v="20.399999999999999"/>
    <n v="239.5"/>
    <n v="6.8644999999999996"/>
  </r>
  <r>
    <x v="5"/>
    <n v="0"/>
    <n v="0"/>
    <n v="0.13"/>
    <n v="110"/>
    <n v="4"/>
    <s v="Devang Shah"/>
    <n v="7.27"/>
    <n v="5.29"/>
    <n v="1.4522013940527982"/>
    <n v="2.36"/>
    <n v="2.19"/>
    <n v="2"/>
    <s v="Axis Mutual Fund"/>
    <n v="0"/>
    <x v="2"/>
    <s v="Fixed Maturity Plans"/>
    <n v="11.2"/>
    <n v="14.5"/>
    <n v="14"/>
    <n v="0.44612476370510395"/>
    <n v="7.6923076923076916"/>
    <n v="12.85"/>
    <n v="14.3"/>
    <n v="6.7273461538461543"/>
  </r>
  <r>
    <x v="6"/>
    <n v="100"/>
    <n v="5000"/>
    <n v="0.66"/>
    <n v="1258"/>
    <n v="9"/>
    <s v="Mittul Kalawadia"/>
    <n v="5.0599999999999996"/>
    <n v="10.39"/>
    <n v="12.95299193236837"/>
    <n v="0.83"/>
    <n v="1.94"/>
    <n v="6"/>
    <s v="ICICI Prudential Mutual Fund"/>
    <n v="0"/>
    <x v="0"/>
    <s v="Dividend Yield Funds"/>
    <n v="8.5"/>
    <n v="37.6"/>
    <n v="12.1"/>
    <n v="7.9884504331087569E-2"/>
    <n v="1.5151515151515151"/>
    <n v="23.05"/>
    <n v="830.28000000000009"/>
    <n v="7.7232727272727288"/>
  </r>
  <r>
    <x v="7"/>
    <n v="100"/>
    <n v="5000"/>
    <n v="0.81"/>
    <n v="4618"/>
    <n v="10"/>
    <s v="Harish Bihani"/>
    <n v="4.72"/>
    <n v="8.49"/>
    <n v="14.675224775867047"/>
    <n v="0.82"/>
    <n v="1.94"/>
    <n v="6"/>
    <s v="ICICI Prudential Mutual Fund"/>
    <n v="3"/>
    <x v="0"/>
    <s v="Small Cap Mutual Funds"/>
    <n v="7.7"/>
    <n v="41.8"/>
    <n v="14.9"/>
    <n v="9.6584216725559474E-2"/>
    <n v="1.2345679012345678"/>
    <n v="24.75"/>
    <n v="3740.5800000000004"/>
    <n v="7.7461851851851851"/>
  </r>
  <r>
    <x v="8"/>
    <n v="500"/>
    <n v="5000"/>
    <n v="0.77"/>
    <n v="8625"/>
    <n v="9"/>
    <s v="Venugopal Manghat"/>
    <n v="4.16"/>
    <n v="9.8699999999999992"/>
    <n v="17.159124556793557"/>
    <n v="0.82"/>
    <n v="2.08"/>
    <n v="6"/>
    <s v="HSBC Mutual Fund"/>
    <n v="3"/>
    <x v="0"/>
    <s v="Small Cap Mutual Funds"/>
    <n v="5.0999999999999996"/>
    <n v="44.7"/>
    <n v="12.7"/>
    <n v="8.3080040526849044E-2"/>
    <n v="1.2987012987012987"/>
    <n v="24.900000000000002"/>
    <n v="6641.25"/>
    <n v="7.825805194805195"/>
  </r>
  <r>
    <x v="9"/>
    <n v="100"/>
    <n v="100"/>
    <n v="0.8"/>
    <n v="14648"/>
    <n v="10"/>
    <s v="Chirag Setalvad"/>
    <n v="3.75"/>
    <n v="6.54"/>
    <n v="14.383632673594278"/>
    <n v="0.91"/>
    <n v="1.88"/>
    <n v="6"/>
    <s v="HDFC Mutual Fund"/>
    <n v="3"/>
    <x v="0"/>
    <s v="Small Cap Mutual Funds"/>
    <n v="12.5"/>
    <n v="43.5"/>
    <n v="13.5"/>
    <n v="0.13914373088685017"/>
    <n v="1.25"/>
    <n v="28"/>
    <n v="11718.400000000001"/>
    <n v="7.9430000000000005"/>
  </r>
  <r>
    <x v="10"/>
    <n v="150"/>
    <n v="5000"/>
    <n v="0.26"/>
    <n v="3300"/>
    <n v="4"/>
    <s v="Chandraprakash Padiyar"/>
    <n v="3.98"/>
    <n v="11.28"/>
    <n v="14.850001351790466"/>
    <n v="0.77"/>
    <n v="2.12"/>
    <n v="6"/>
    <s v="Tata Mutual Fund"/>
    <n v="4"/>
    <x v="0"/>
    <s v="Small Cap Mutual Funds"/>
    <n v="17.100000000000001"/>
    <n v="44.1"/>
    <n v="9.4907264296754246"/>
    <n v="6.8262411347517732E-2"/>
    <n v="3.8461538461538458"/>
    <n v="30.6"/>
    <n v="858"/>
    <n v="9.455923076923078"/>
  </r>
  <r>
    <x v="11"/>
    <n v="100"/>
    <n v="5000"/>
    <n v="0.86"/>
    <n v="23910"/>
    <n v="10"/>
    <s v="Samir Rachh"/>
    <n v="4.2"/>
    <n v="10.01"/>
    <n v="16.757950020479509"/>
    <n v="0.89"/>
    <n v="2.06"/>
    <n v="6"/>
    <s v="Nippon India Mutual Fund"/>
    <n v="4"/>
    <x v="0"/>
    <s v="Small Cap Mutual Funds"/>
    <n v="8.6999999999999993"/>
    <n v="47.6"/>
    <n v="16.8"/>
    <n v="8.8911088911088912E-2"/>
    <n v="1.1627906976744187"/>
    <n v="28.15"/>
    <n v="20562.599999999999"/>
    <n v="8.4734186046511635"/>
  </r>
  <r>
    <x v="12"/>
    <n v="500"/>
    <n v="500"/>
    <n v="0.59"/>
    <n v="8617"/>
    <n v="10"/>
    <s v="Pankaj Tibrewal"/>
    <n v="4.0599999999999996"/>
    <n v="8.99"/>
    <n v="17.990553076545481"/>
    <n v="0.81"/>
    <n v="1.98"/>
    <n v="6"/>
    <s v="Kotak Mahindra Mutual Fund"/>
    <n v="4"/>
    <x v="0"/>
    <s v="Small Cap Mutual Funds"/>
    <n v="-0.7"/>
    <n v="43.1"/>
    <n v="17"/>
    <n v="9.0100111234705238E-2"/>
    <n v="1.6949152542372883"/>
    <n v="21.2"/>
    <n v="5084.03"/>
    <n v="7.0022372881355937"/>
  </r>
  <r>
    <x v="13"/>
    <n v="1000"/>
    <n v="5000"/>
    <n v="1"/>
    <n v="727"/>
    <n v="10"/>
    <s v="Harish Krishnan"/>
    <n v="4.55"/>
    <n v="14.15"/>
    <n v="10.668645649753291"/>
    <n v="0.6"/>
    <n v="2"/>
    <n v="6"/>
    <s v="Kotak Mahindra Mutual Fund"/>
    <n v="4"/>
    <x v="0"/>
    <s v="Sectoral / Thematic Mutual Funds"/>
    <n v="23.2"/>
    <n v="39.700000000000003"/>
    <n v="13.9"/>
    <n v="4.2402826855123671E-2"/>
    <n v="1"/>
    <n v="31.450000000000003"/>
    <n v="727"/>
    <n v="9.5925000000000011"/>
  </r>
  <r>
    <x v="14"/>
    <n v="1000"/>
    <n v="5000"/>
    <n v="0.18"/>
    <n v="18393"/>
    <n v="10"/>
    <s v="Dharmesh Kakkad"/>
    <n v="5.89"/>
    <n v="7.45"/>
    <n v="5.3466500415369147"/>
    <n v="0.53"/>
    <n v="1.99"/>
    <n v="4"/>
    <s v="ICICI Prudential Mutual Fund"/>
    <n v="4"/>
    <x v="1"/>
    <s v="FoFs Domestic"/>
    <n v="8.8000000000000007"/>
    <n v="21.6"/>
    <n v="12.8"/>
    <n v="7.1140939597315433E-2"/>
    <n v="5.5555555555555554"/>
    <n v="15.200000000000001"/>
    <n v="3310.74"/>
    <n v="6.6878333333333337"/>
  </r>
  <r>
    <x v="15"/>
    <n v="500"/>
    <n v="5000"/>
    <n v="0.7"/>
    <n v="15395"/>
    <n v="10"/>
    <s v="R Srinivasan"/>
    <n v="4.07"/>
    <n v="6.48"/>
    <n v="12.847048947780447"/>
    <n v="0.75"/>
    <n v="1.88"/>
    <n v="6"/>
    <s v="SBI Mutual Fund"/>
    <n v="4"/>
    <x v="0"/>
    <s v="Small Cap Mutual Funds"/>
    <n v="8.1999999999999993"/>
    <n v="38.299999999999997"/>
    <n v="15.3"/>
    <n v="0.11574074074074073"/>
    <n v="1.4285714285714286"/>
    <n v="23.25"/>
    <n v="10776.5"/>
    <n v="7.0937857142857155"/>
  </r>
  <r>
    <x v="16"/>
    <n v="1000"/>
    <n v="5000"/>
    <n v="0.64"/>
    <n v="3301"/>
    <n v="10"/>
    <s v="Sanjeev Sharma"/>
    <n v="3.71"/>
    <n v="19.16"/>
    <n v="27.88085763067955"/>
    <n v="0.99"/>
    <n v="2.11"/>
    <n v="6"/>
    <s v="Quant Mutual Fund"/>
    <n v="5"/>
    <x v="0"/>
    <s v="Small Cap Mutual Funds"/>
    <n v="5.4"/>
    <n v="71.400000000000006"/>
    <n v="23.2"/>
    <n v="5.1670146137787053E-2"/>
    <n v="1.5625"/>
    <n v="38.400000000000006"/>
    <n v="2112.64"/>
    <n v="11.390875000000001"/>
  </r>
  <r>
    <x v="17"/>
    <n v="1000"/>
    <n v="5000"/>
    <n v="0.64"/>
    <n v="822"/>
    <n v="10"/>
    <s v="Vasav Sahgal"/>
    <n v="3.44"/>
    <n v="27.24"/>
    <n v="23.563672605658628"/>
    <n v="0.53"/>
    <n v="2.2999999999999998"/>
    <n v="6"/>
    <s v="Quant Mutual Fund"/>
    <n v="5"/>
    <x v="0"/>
    <s v="Sectoral / Thematic Mutual Funds"/>
    <n v="5.6"/>
    <n v="61.5"/>
    <n v="21.1"/>
    <n v="1.9456681350954481E-2"/>
    <n v="1.5625"/>
    <n v="33.549999999999997"/>
    <n v="526.08000000000004"/>
    <n v="11.218375"/>
  </r>
  <r>
    <x v="18"/>
    <n v="500"/>
    <n v="500"/>
    <n v="0.56999999999999995"/>
    <n v="2779"/>
    <n v="10"/>
    <s v="Vasav Sahgal"/>
    <n v="3.5"/>
    <n v="17.63"/>
    <n v="22.208556909443711"/>
    <n v="0.96"/>
    <n v="2.0299999999999998"/>
    <n v="6"/>
    <s v="Quant Mutual Fund"/>
    <n v="5"/>
    <x v="0"/>
    <s v="ELSS Mutual Funds"/>
    <n v="0.9"/>
    <n v="54.9"/>
    <n v="22.2"/>
    <n v="5.4452637549631311E-2"/>
    <n v="1.7543859649122808"/>
    <n v="27.9"/>
    <n v="1584.03"/>
    <n v="9.0901578947368424"/>
  </r>
  <r>
    <x v="19"/>
    <n v="1000"/>
    <n v="5000"/>
    <n v="0.56000000000000005"/>
    <n v="634"/>
    <n v="10"/>
    <s v="Vasav Sahgal"/>
    <n v="3.23"/>
    <n v="19.52"/>
    <n v="13.376679541483957"/>
    <n v="0.75"/>
    <n v="1.79"/>
    <n v="6"/>
    <s v="Quant Mutual Fund"/>
    <n v="5"/>
    <x v="3"/>
    <s v="Multi Asset Allocation Mutual Funds"/>
    <n v="10.6"/>
    <n v="42.6"/>
    <n v="20.5"/>
    <n v="3.8422131147540985E-2"/>
    <n v="1.7857142857142856"/>
    <n v="26.6"/>
    <n v="355.04"/>
    <n v="8.8843571428571444"/>
  </r>
  <r>
    <x v="20"/>
    <n v="1000"/>
    <n v="5000"/>
    <n v="0.57999999999999996"/>
    <n v="1044"/>
    <n v="10"/>
    <s v="Vasav Sahgal"/>
    <n v="3.65"/>
    <n v="15.93"/>
    <n v="17.233752412699392"/>
    <n v="0.91"/>
    <n v="1.94"/>
    <n v="6"/>
    <s v="Quant Mutual Fund"/>
    <n v="5"/>
    <x v="0"/>
    <s v="Flexi Cap Funds"/>
    <n v="6.8"/>
    <n v="47.7"/>
    <n v="18.2"/>
    <n v="5.7124921531701199E-2"/>
    <n v="1.7241379310344829"/>
    <n v="27.25"/>
    <n v="605.52"/>
    <n v="8.7961206896551722"/>
  </r>
  <r>
    <x v="21"/>
    <n v="1000"/>
    <n v="5000"/>
    <n v="0.56000000000000005"/>
    <n v="1013"/>
    <n v="10"/>
    <s v="Sanjeev Sharma"/>
    <n v="3.75"/>
    <n v="16.98"/>
    <n v="12.731675284720222"/>
    <n v="0.73"/>
    <n v="2.12"/>
    <n v="6"/>
    <s v="Quant Mutual Fund"/>
    <n v="5"/>
    <x v="3"/>
    <s v="Aggressive Hybrid Mutual Funds"/>
    <n v="7.3"/>
    <n v="38.200000000000003"/>
    <n v="19.100000000000001"/>
    <n v="4.2991755005889282E-2"/>
    <n v="1.7857142857142856"/>
    <n v="22.75"/>
    <n v="567.28000000000009"/>
    <n v="8.0893571428571427"/>
  </r>
  <r>
    <x v="22"/>
    <n v="1000"/>
    <n v="5000"/>
    <n v="0.63"/>
    <n v="1550"/>
    <n v="10"/>
    <s v="Sanjeev Sharma"/>
    <n v="3.58"/>
    <n v="11.21"/>
    <n v="15.197879969112654"/>
    <n v="0.86"/>
    <n v="1.95"/>
    <n v="6"/>
    <s v="Quant Mutual Fund"/>
    <n v="5"/>
    <x v="0"/>
    <s v="Mid Cap Mutual Funds"/>
    <n v="8.8000000000000007"/>
    <n v="45.1"/>
    <n v="19.8"/>
    <n v="7.6717216770740407E-2"/>
    <n v="1.5873015873015872"/>
    <n v="26.950000000000003"/>
    <n v="976.5"/>
    <n v="8.2290952380952387"/>
  </r>
  <r>
    <x v="23"/>
    <n v="1000"/>
    <n v="5000"/>
    <n v="0.46"/>
    <n v="7707"/>
    <n v="9"/>
    <s v="Aniruddha Naha"/>
    <n v="4.6100000000000003"/>
    <n v="6.9"/>
    <n v="16.776372273726718"/>
    <n v="0.97"/>
    <n v="1.92"/>
    <n v="6"/>
    <s v="PGIM India Mutual Fund"/>
    <n v="5"/>
    <x v="0"/>
    <s v="Mid Cap Mutual Funds"/>
    <n v="2"/>
    <n v="42.9"/>
    <n v="19"/>
    <n v="0.14057971014492754"/>
    <n v="2.1739130434782608"/>
    <n v="22.45"/>
    <n v="3545.2200000000003"/>
    <n v="7.2345869565217402"/>
  </r>
  <r>
    <x v="24"/>
    <n v="500"/>
    <n v="5000"/>
    <n v="0.91"/>
    <n v="8340"/>
    <n v="10"/>
    <s v="Dinesh Balachandran"/>
    <n v="4.43"/>
    <n v="15.26"/>
    <n v="13.248731595473165"/>
    <n v="0.89"/>
    <n v="2.13"/>
    <n v="6"/>
    <s v="SBI Mutual Fund"/>
    <n v="5"/>
    <x v="0"/>
    <s v="Contra Funds"/>
    <n v="15"/>
    <n v="43.4"/>
    <n v="15.6"/>
    <n v="5.8322411533420708E-2"/>
    <n v="1.0989010989010988"/>
    <n v="29.2"/>
    <n v="7589.4000000000005"/>
    <n v="9.277335164835165"/>
  </r>
  <r>
    <x v="25"/>
    <n v="1000"/>
    <n v="5000"/>
    <n v="0.47"/>
    <n v="4831"/>
    <n v="4"/>
    <s v="Shridatta Bhandwaldar"/>
    <n v="4.62"/>
    <n v="12.23"/>
    <n v="22.700115980925236"/>
    <n v="0.79"/>
    <n v="2.17"/>
    <n v="6"/>
    <s v="Canara Robeco Mutual Fund"/>
    <n v="5"/>
    <x v="0"/>
    <s v="Small Cap Mutual Funds"/>
    <n v="-0.6"/>
    <n v="51.8"/>
    <n v="9.4907264296754246"/>
    <n v="6.4595257563368771E-2"/>
    <n v="2.1276595744680851"/>
    <n v="25.599999999999998"/>
    <n v="2270.5699999999997"/>
    <n v="8.4681489361702127"/>
  </r>
  <r>
    <x v="26"/>
    <n v="500"/>
    <n v="500"/>
    <n v="0.54"/>
    <n v="11462"/>
    <n v="9"/>
    <s v="Anupam Tiwari"/>
    <n v="3.9"/>
    <n v="8.34"/>
    <n v="12.698293848650167"/>
    <n v="0.66"/>
    <n v="2.06"/>
    <n v="6"/>
    <s v="Axis Mutual Fund"/>
    <n v="5"/>
    <x v="0"/>
    <s v="Small Cap Mutual Funds"/>
    <n v="3.4"/>
    <n v="34.5"/>
    <n v="19.399999999999999"/>
    <n v="7.9136690647482022E-2"/>
    <n v="1.8518518518518516"/>
    <n v="18.95"/>
    <n v="6189.4800000000005"/>
    <n v="6.4947777777777773"/>
  </r>
  <r>
    <x v="27"/>
    <n v="1000"/>
    <n v="5000"/>
    <n v="0.08"/>
    <n v="89"/>
    <n v="5"/>
    <s v="Kayzad Eghlim"/>
    <n v="2.76"/>
    <n v="9.68"/>
    <n v="10.414342770413338"/>
    <n v="0.88"/>
    <n v="1.47"/>
    <n v="6"/>
    <s v="ICICI Prudential Mutual Fund"/>
    <n v="5"/>
    <x v="1"/>
    <s v="FoFs Domestic"/>
    <n v="22.1"/>
    <n v="35"/>
    <n v="9.4907264296754246"/>
    <n v="9.0909090909090912E-2"/>
    <n v="12.5"/>
    <n v="28.55"/>
    <n v="7.12"/>
    <n v="9.6840000000000011"/>
  </r>
  <r>
    <x v="28"/>
    <n v="100"/>
    <n v="100"/>
    <n v="0.78"/>
    <n v="2696"/>
    <n v="7"/>
    <s v="Srinivasan Ramamurthy"/>
    <n v="4.32"/>
    <n v="9.26"/>
    <n v="10.312559764136591"/>
    <n v="0.85"/>
    <n v="1.92"/>
    <n v="6"/>
    <s v="HDFC Mutual Fund"/>
    <n v="5"/>
    <x v="4"/>
    <s v="Retirement Funds"/>
    <n v="11.6"/>
    <n v="34.9"/>
    <n v="14.8"/>
    <n v="9.1792656587473001E-2"/>
    <n v="1.2820512820512819"/>
    <n v="23.25"/>
    <n v="2102.88"/>
    <n v="7.4243076923076936"/>
  </r>
  <r>
    <x v="29"/>
    <n v="1000"/>
    <n v="1000"/>
    <n v="0.75"/>
    <n v="29953"/>
    <n v="10"/>
    <s v="Rajeev Thakkar"/>
    <n v="3.06"/>
    <n v="10.65"/>
    <n v="12.77923663169631"/>
    <n v="0.7"/>
    <n v="1.86"/>
    <n v="6"/>
    <s v="PPFAS Mutual Fund"/>
    <n v="5"/>
    <x v="0"/>
    <s v="Flexi Cap Funds"/>
    <n v="2.2999999999999998"/>
    <n v="33.6"/>
    <n v="17.600000000000001"/>
    <n v="6.5727699530516423E-2"/>
    <n v="1.3333333333333333"/>
    <n v="17.95"/>
    <n v="22464.75"/>
    <n v="6.178000000000000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Quant Active Fund"/>
    <n v="1000"/>
    <n v="5000"/>
    <n v="0.57999999999999996"/>
    <n v="3531"/>
    <x v="0"/>
    <s v="Sanjeev Sharma"/>
    <n v="3.33"/>
    <n v="13.82"/>
    <n v="18.235557451187372"/>
    <n v="0.97"/>
    <n v="1.87"/>
    <x v="0"/>
    <x v="0"/>
    <x v="0"/>
    <x v="0"/>
    <x v="0"/>
    <x v="0"/>
    <n v="1"/>
    <n v="45.5"/>
    <n v="19.899999999999999"/>
    <n v="7.0188133140376266E-2"/>
    <n v="1.7241379310344829"/>
    <n v="23.25"/>
    <n v="2047.9799999999998"/>
    <n v="7.6841206896551721"/>
  </r>
  <r>
    <s v="Kotak Multi Asset Allocator FoF – Dynamic – Direct Growth"/>
    <n v="1000"/>
    <n v="5000"/>
    <n v="0.13"/>
    <n v="783"/>
    <x v="0"/>
    <s v="Devender Singhal"/>
    <n v="4.33"/>
    <n v="8.0399999999999991"/>
    <n v="5.7863824815010494"/>
    <n v="0.7"/>
    <n v="1.91"/>
    <x v="1"/>
    <x v="1"/>
    <x v="1"/>
    <x v="0"/>
    <x v="1"/>
    <x v="1"/>
    <n v="11.2"/>
    <n v="25"/>
    <n v="15.3"/>
    <n v="8.7064676616915429E-2"/>
    <n v="7.6923076923076916"/>
    <n v="18.100000000000001"/>
    <n v="101.79"/>
    <n v="7.2333461538461545"/>
  </r>
  <r>
    <s v="Tata Digital India Fund"/>
    <n v="150"/>
    <n v="5000"/>
    <n v="0.31"/>
    <n v="6765"/>
    <x v="1"/>
    <s v="Meeta Shetty"/>
    <n v="2.29"/>
    <n v="6.11"/>
    <n v="23.002946671145317"/>
    <n v="0.92"/>
    <n v="1.37"/>
    <x v="0"/>
    <x v="0"/>
    <x v="2"/>
    <x v="0"/>
    <x v="0"/>
    <x v="2"/>
    <n v="-16"/>
    <n v="39"/>
    <n v="22.1"/>
    <n v="0.15057283142389524"/>
    <n v="3.2258064516129035"/>
    <n v="11.5"/>
    <n v="2097.15"/>
    <n v="4.3783709677419358"/>
  </r>
  <r>
    <s v="Kotak India Growth Fund"/>
    <n v="0"/>
    <n v="5000"/>
    <n v="0.34"/>
    <n v="90"/>
    <x v="2"/>
    <s v="Devender Singhal"/>
    <n v="3.71"/>
    <n v="7.67"/>
    <n v="12.71543244338242"/>
    <n v="0.95"/>
    <n v="1.75"/>
    <x v="0"/>
    <x v="0"/>
    <x v="1"/>
    <x v="0"/>
    <x v="0"/>
    <x v="0"/>
    <n v="4.8"/>
    <n v="35.5"/>
    <n v="15.6"/>
    <n v="0.12385919165580182"/>
    <n v="2.9411764705882351"/>
    <n v="20.149999999999999"/>
    <n v="30.6"/>
    <n v="6.6906764705882358"/>
  </r>
  <r>
    <s v="ICICI Pru Thematic Advantage Fund"/>
    <n v="1000"/>
    <n v="5000"/>
    <n v="0.25"/>
    <n v="958"/>
    <x v="0"/>
    <s v="Dharmesh Kakkad"/>
    <n v="4.13"/>
    <n v="6.63"/>
    <n v="12.548926470242609"/>
    <n v="0.98"/>
    <n v="1.63"/>
    <x v="0"/>
    <x v="0"/>
    <x v="3"/>
    <x v="0"/>
    <x v="1"/>
    <x v="1"/>
    <n v="5.4"/>
    <n v="35.4"/>
    <n v="14.6"/>
    <n v="0.14781297134238311"/>
    <n v="4"/>
    <n v="20.399999999999999"/>
    <n v="239.5"/>
    <n v="6.8644999999999996"/>
  </r>
  <r>
    <s v="AXIS FTP – Series 104 – 1112Days"/>
    <n v="0"/>
    <n v="0"/>
    <n v="0.13"/>
    <n v="110"/>
    <x v="3"/>
    <s v="Devang Shah"/>
    <n v="7.27"/>
    <n v="5.29"/>
    <n v="1.4522013940527982"/>
    <n v="2.36"/>
    <n v="2.19"/>
    <x v="2"/>
    <x v="2"/>
    <x v="4"/>
    <x v="0"/>
    <x v="2"/>
    <x v="3"/>
    <n v="11.2"/>
    <n v="14.5"/>
    <n v="14"/>
    <n v="0.44612476370510395"/>
    <n v="7.6923076923076916"/>
    <n v="12.85"/>
    <n v="14.3"/>
    <n v="6.7273461538461543"/>
  </r>
  <r>
    <s v="ICICI Pru Dividend Yield Equity Fund"/>
    <n v="100"/>
    <n v="5000"/>
    <n v="0.66"/>
    <n v="1258"/>
    <x v="4"/>
    <s v="Mittul Kalawadia"/>
    <n v="5.0599999999999996"/>
    <n v="10.39"/>
    <n v="12.95299193236837"/>
    <n v="0.83"/>
    <n v="1.94"/>
    <x v="0"/>
    <x v="0"/>
    <x v="3"/>
    <x v="0"/>
    <x v="0"/>
    <x v="4"/>
    <n v="8.5"/>
    <n v="37.6"/>
    <n v="12.1"/>
    <n v="7.9884504331087569E-2"/>
    <n v="1.5151515151515151"/>
    <n v="23.05"/>
    <n v="830.28000000000009"/>
    <n v="7.7232727272727288"/>
  </r>
  <r>
    <s v="ICICI Pru Smallcap Fund"/>
    <n v="100"/>
    <n v="5000"/>
    <n v="0.81"/>
    <n v="4618"/>
    <x v="0"/>
    <s v="Harish Bihani"/>
    <n v="4.72"/>
    <n v="8.49"/>
    <n v="14.675224775867047"/>
    <n v="0.82"/>
    <n v="1.94"/>
    <x v="0"/>
    <x v="0"/>
    <x v="3"/>
    <x v="1"/>
    <x v="0"/>
    <x v="5"/>
    <n v="7.7"/>
    <n v="41.8"/>
    <n v="14.9"/>
    <n v="9.6584216725559474E-2"/>
    <n v="1.2345679012345678"/>
    <n v="24.75"/>
    <n v="3740.5800000000004"/>
    <n v="7.7461851851851851"/>
  </r>
  <r>
    <s v="HSBC Small Cap Fund"/>
    <n v="500"/>
    <n v="5000"/>
    <n v="0.77"/>
    <n v="8625"/>
    <x v="4"/>
    <s v="Venugopal Manghat"/>
    <n v="4.16"/>
    <n v="9.8699999999999992"/>
    <n v="17.159124556793557"/>
    <n v="0.82"/>
    <n v="2.08"/>
    <x v="0"/>
    <x v="0"/>
    <x v="5"/>
    <x v="1"/>
    <x v="0"/>
    <x v="5"/>
    <n v="5.0999999999999996"/>
    <n v="44.7"/>
    <n v="12.7"/>
    <n v="8.3080040526849044E-2"/>
    <n v="1.2987012987012987"/>
    <n v="24.900000000000002"/>
    <n v="6641.25"/>
    <n v="7.825805194805195"/>
  </r>
  <r>
    <s v="HDFC Small Cap Fund"/>
    <n v="100"/>
    <n v="100"/>
    <n v="0.8"/>
    <n v="14648"/>
    <x v="0"/>
    <s v="Chirag Setalvad"/>
    <n v="3.75"/>
    <n v="6.54"/>
    <n v="14.383632673594278"/>
    <n v="0.91"/>
    <n v="1.88"/>
    <x v="0"/>
    <x v="0"/>
    <x v="6"/>
    <x v="1"/>
    <x v="0"/>
    <x v="5"/>
    <n v="12.5"/>
    <n v="43.5"/>
    <n v="13.5"/>
    <n v="0.13914373088685017"/>
    <n v="1.25"/>
    <n v="28"/>
    <n v="11718.400000000001"/>
    <n v="7.9430000000000005"/>
  </r>
  <r>
    <s v="Tata Small Cap Fund"/>
    <n v="150"/>
    <n v="5000"/>
    <n v="0.26"/>
    <n v="3300"/>
    <x v="3"/>
    <s v="Chandraprakash Padiyar"/>
    <n v="3.98"/>
    <n v="11.28"/>
    <n v="14.850001351790466"/>
    <n v="0.77"/>
    <n v="2.12"/>
    <x v="0"/>
    <x v="0"/>
    <x v="2"/>
    <x v="2"/>
    <x v="0"/>
    <x v="5"/>
    <n v="17.100000000000001"/>
    <n v="44.1"/>
    <n v="9.4907264296754246"/>
    <n v="6.8262411347517732E-2"/>
    <n v="3.8461538461538458"/>
    <n v="30.6"/>
    <n v="858"/>
    <n v="9.455923076923078"/>
  </r>
  <r>
    <s v="Nippon India Small Cap Fund"/>
    <n v="100"/>
    <n v="5000"/>
    <n v="0.86"/>
    <n v="23910"/>
    <x v="0"/>
    <s v="Samir Rachh"/>
    <n v="4.2"/>
    <n v="10.01"/>
    <n v="16.757950020479509"/>
    <n v="0.89"/>
    <n v="2.06"/>
    <x v="0"/>
    <x v="0"/>
    <x v="7"/>
    <x v="2"/>
    <x v="0"/>
    <x v="5"/>
    <n v="8.6999999999999993"/>
    <n v="47.6"/>
    <n v="16.8"/>
    <n v="8.8911088911088912E-2"/>
    <n v="1.1627906976744187"/>
    <n v="28.15"/>
    <n v="20562.599999999999"/>
    <n v="8.4734186046511635"/>
  </r>
  <r>
    <s v="Kotak Small Cap Fund"/>
    <n v="500"/>
    <n v="500"/>
    <n v="0.59"/>
    <n v="8617"/>
    <x v="0"/>
    <s v="Pankaj Tibrewal"/>
    <n v="4.0599999999999996"/>
    <n v="8.99"/>
    <n v="17.990553076545481"/>
    <n v="0.81"/>
    <n v="1.98"/>
    <x v="0"/>
    <x v="0"/>
    <x v="1"/>
    <x v="2"/>
    <x v="0"/>
    <x v="5"/>
    <n v="-0.7"/>
    <n v="43.1"/>
    <n v="17"/>
    <n v="9.0100111234705238E-2"/>
    <n v="1.6949152542372883"/>
    <n v="21.2"/>
    <n v="5084.03"/>
    <n v="7.0022372881355937"/>
  </r>
  <r>
    <s v="Kotak Infrastructure &amp; Ecoc. Reform-SP-DirGrowth"/>
    <n v="1000"/>
    <n v="5000"/>
    <n v="1"/>
    <n v="727"/>
    <x v="0"/>
    <s v="Harish Krishnan"/>
    <n v="4.55"/>
    <n v="14.15"/>
    <n v="10.668645649753291"/>
    <n v="0.6"/>
    <n v="2"/>
    <x v="0"/>
    <x v="0"/>
    <x v="1"/>
    <x v="2"/>
    <x v="0"/>
    <x v="2"/>
    <n v="23.2"/>
    <n v="39.700000000000003"/>
    <n v="13.9"/>
    <n v="4.2402826855123671E-2"/>
    <n v="1"/>
    <n v="31.450000000000003"/>
    <n v="727"/>
    <n v="9.5925000000000011"/>
  </r>
  <r>
    <s v="ICICI Pru Asset Allocator Fund"/>
    <n v="1000"/>
    <n v="5000"/>
    <n v="0.18"/>
    <n v="18393"/>
    <x v="0"/>
    <s v="Dharmesh Kakkad"/>
    <n v="5.89"/>
    <n v="7.45"/>
    <n v="5.3466500415369147"/>
    <n v="0.53"/>
    <n v="1.99"/>
    <x v="3"/>
    <x v="3"/>
    <x v="3"/>
    <x v="2"/>
    <x v="1"/>
    <x v="1"/>
    <n v="8.8000000000000007"/>
    <n v="21.6"/>
    <n v="12.8"/>
    <n v="7.1140939597315433E-2"/>
    <n v="5.5555555555555554"/>
    <n v="15.200000000000001"/>
    <n v="3310.74"/>
    <n v="6.6878333333333337"/>
  </r>
  <r>
    <s v="SBI Small Cap Fund"/>
    <n v="500"/>
    <n v="5000"/>
    <n v="0.7"/>
    <n v="15395"/>
    <x v="0"/>
    <s v="R Srinivasan"/>
    <n v="4.07"/>
    <n v="6.48"/>
    <n v="12.847048947780447"/>
    <n v="0.75"/>
    <n v="1.88"/>
    <x v="0"/>
    <x v="0"/>
    <x v="8"/>
    <x v="2"/>
    <x v="0"/>
    <x v="5"/>
    <n v="8.1999999999999993"/>
    <n v="38.299999999999997"/>
    <n v="15.3"/>
    <n v="0.11574074074074073"/>
    <n v="1.4285714285714286"/>
    <n v="23.25"/>
    <n v="10776.5"/>
    <n v="7.0937857142857155"/>
  </r>
  <r>
    <s v="Quant Small Cap Fund"/>
    <n v="1000"/>
    <n v="5000"/>
    <n v="0.64"/>
    <n v="3301"/>
    <x v="0"/>
    <s v="Sanjeev Sharma"/>
    <n v="3.71"/>
    <n v="19.16"/>
    <n v="27.88085763067955"/>
    <n v="0.99"/>
    <n v="2.11"/>
    <x v="0"/>
    <x v="0"/>
    <x v="0"/>
    <x v="3"/>
    <x v="0"/>
    <x v="5"/>
    <n v="5.4"/>
    <n v="71.400000000000006"/>
    <n v="23.2"/>
    <n v="5.1670146137787053E-2"/>
    <n v="1.5625"/>
    <n v="38.400000000000006"/>
    <n v="2112.64"/>
    <n v="11.390875000000001"/>
  </r>
  <r>
    <s v="Quant Infrastructure Fund"/>
    <n v="1000"/>
    <n v="5000"/>
    <n v="0.64"/>
    <n v="822"/>
    <x v="0"/>
    <s v="Vasav Sahgal"/>
    <n v="3.44"/>
    <n v="27.24"/>
    <n v="23.563672605658628"/>
    <n v="0.53"/>
    <n v="2.2999999999999998"/>
    <x v="0"/>
    <x v="0"/>
    <x v="0"/>
    <x v="3"/>
    <x v="0"/>
    <x v="2"/>
    <n v="5.6"/>
    <n v="61.5"/>
    <n v="21.1"/>
    <n v="1.9456681350954481E-2"/>
    <n v="1.5625"/>
    <n v="33.549999999999997"/>
    <n v="526.08000000000004"/>
    <n v="11.218375"/>
  </r>
  <r>
    <s v="Quant Tax Plan- Direct Growth"/>
    <n v="500"/>
    <n v="500"/>
    <n v="0.56999999999999995"/>
    <n v="2779"/>
    <x v="0"/>
    <s v="Vasav Sahgal"/>
    <n v="3.5"/>
    <n v="17.63"/>
    <n v="22.208556909443711"/>
    <n v="0.96"/>
    <n v="2.0299999999999998"/>
    <x v="0"/>
    <x v="0"/>
    <x v="0"/>
    <x v="3"/>
    <x v="0"/>
    <x v="6"/>
    <n v="0.9"/>
    <n v="54.9"/>
    <n v="22.2"/>
    <n v="5.4452637549631311E-2"/>
    <n v="1.7543859649122808"/>
    <n v="27.9"/>
    <n v="1584.03"/>
    <n v="9.0901578947368424"/>
  </r>
  <r>
    <s v="Quant Multi Asset Fund"/>
    <n v="1000"/>
    <n v="5000"/>
    <n v="0.56000000000000005"/>
    <n v="634"/>
    <x v="0"/>
    <s v="Vasav Sahgal"/>
    <n v="3.23"/>
    <n v="19.52"/>
    <n v="13.376679541483957"/>
    <n v="0.75"/>
    <n v="1.79"/>
    <x v="0"/>
    <x v="0"/>
    <x v="0"/>
    <x v="3"/>
    <x v="3"/>
    <x v="7"/>
    <n v="10.6"/>
    <n v="42.6"/>
    <n v="20.5"/>
    <n v="3.8422131147540985E-2"/>
    <n v="1.7857142857142856"/>
    <n v="26.6"/>
    <n v="355.04"/>
    <n v="8.8843571428571444"/>
  </r>
  <r>
    <s v="Quant Flexi Cap Fund"/>
    <n v="1000"/>
    <n v="5000"/>
    <n v="0.57999999999999996"/>
    <n v="1044"/>
    <x v="0"/>
    <s v="Vasav Sahgal"/>
    <n v="3.65"/>
    <n v="15.93"/>
    <n v="17.233752412699392"/>
    <n v="0.91"/>
    <n v="1.94"/>
    <x v="0"/>
    <x v="0"/>
    <x v="0"/>
    <x v="3"/>
    <x v="0"/>
    <x v="8"/>
    <n v="6.8"/>
    <n v="47.7"/>
    <n v="18.2"/>
    <n v="5.7124921531701199E-2"/>
    <n v="1.7241379310344829"/>
    <n v="27.25"/>
    <n v="605.52"/>
    <n v="8.7961206896551722"/>
  </r>
  <r>
    <s v="Quant Absolute Fund"/>
    <n v="1000"/>
    <n v="5000"/>
    <n v="0.56000000000000005"/>
    <n v="1013"/>
    <x v="0"/>
    <s v="Sanjeev Sharma"/>
    <n v="3.75"/>
    <n v="16.98"/>
    <n v="12.731675284720222"/>
    <n v="0.73"/>
    <n v="2.12"/>
    <x v="0"/>
    <x v="0"/>
    <x v="0"/>
    <x v="3"/>
    <x v="3"/>
    <x v="9"/>
    <n v="7.3"/>
    <n v="38.200000000000003"/>
    <n v="19.100000000000001"/>
    <n v="4.2991755005889282E-2"/>
    <n v="1.7857142857142856"/>
    <n v="22.75"/>
    <n v="567.28000000000009"/>
    <n v="8.0893571428571427"/>
  </r>
  <r>
    <s v="Quant Mid Cap Fund"/>
    <n v="1000"/>
    <n v="5000"/>
    <n v="0.63"/>
    <n v="1550"/>
    <x v="0"/>
    <s v="Sanjeev Sharma"/>
    <n v="3.58"/>
    <n v="11.21"/>
    <n v="15.197879969112654"/>
    <n v="0.86"/>
    <n v="1.95"/>
    <x v="0"/>
    <x v="0"/>
    <x v="0"/>
    <x v="3"/>
    <x v="0"/>
    <x v="10"/>
    <n v="8.8000000000000007"/>
    <n v="45.1"/>
    <n v="19.8"/>
    <n v="7.6717216770740407E-2"/>
    <n v="1.5873015873015872"/>
    <n v="26.950000000000003"/>
    <n v="976.5"/>
    <n v="8.2290952380952387"/>
  </r>
  <r>
    <s v="PGIM India Midcap Opportunities Fund"/>
    <n v="1000"/>
    <n v="5000"/>
    <n v="0.46"/>
    <n v="7707"/>
    <x v="4"/>
    <s v="Aniruddha Naha"/>
    <n v="4.6100000000000003"/>
    <n v="6.9"/>
    <n v="16.776372273726718"/>
    <n v="0.97"/>
    <n v="1.92"/>
    <x v="0"/>
    <x v="0"/>
    <x v="9"/>
    <x v="3"/>
    <x v="0"/>
    <x v="10"/>
    <n v="2"/>
    <n v="42.9"/>
    <n v="19"/>
    <n v="0.14057971014492754"/>
    <n v="2.1739130434782608"/>
    <n v="22.45"/>
    <n v="3545.2200000000003"/>
    <n v="7.2345869565217402"/>
  </r>
  <r>
    <s v="SBI Contra Fund"/>
    <n v="500"/>
    <n v="5000"/>
    <n v="0.91"/>
    <n v="8340"/>
    <x v="0"/>
    <s v="Dinesh Balachandran"/>
    <n v="4.43"/>
    <n v="15.26"/>
    <n v="13.248731595473165"/>
    <n v="0.89"/>
    <n v="2.13"/>
    <x v="0"/>
    <x v="0"/>
    <x v="8"/>
    <x v="3"/>
    <x v="0"/>
    <x v="11"/>
    <n v="15"/>
    <n v="43.4"/>
    <n v="15.6"/>
    <n v="5.8322411533420708E-2"/>
    <n v="1.0989010989010988"/>
    <n v="29.2"/>
    <n v="7589.4000000000005"/>
    <n v="9.277335164835165"/>
  </r>
  <r>
    <s v="Canara Robeco Small Cap Fund"/>
    <n v="1000"/>
    <n v="5000"/>
    <n v="0.47"/>
    <n v="4831"/>
    <x v="3"/>
    <s v="Shridatta Bhandwaldar"/>
    <n v="4.62"/>
    <n v="12.23"/>
    <n v="22.700115980925236"/>
    <n v="0.79"/>
    <n v="2.17"/>
    <x v="0"/>
    <x v="0"/>
    <x v="10"/>
    <x v="3"/>
    <x v="0"/>
    <x v="5"/>
    <n v="-0.6"/>
    <n v="51.8"/>
    <n v="9.4907264296754246"/>
    <n v="6.4595257563368771E-2"/>
    <n v="2.1276595744680851"/>
    <n v="25.599999999999998"/>
    <n v="2270.5699999999997"/>
    <n v="8.4681489361702127"/>
  </r>
  <r>
    <s v="AXIS Small Cap Fund"/>
    <n v="500"/>
    <n v="500"/>
    <n v="0.54"/>
    <n v="11462"/>
    <x v="4"/>
    <s v="Anupam Tiwari"/>
    <n v="3.9"/>
    <n v="8.34"/>
    <n v="12.698293848650167"/>
    <n v="0.66"/>
    <n v="2.06"/>
    <x v="0"/>
    <x v="0"/>
    <x v="4"/>
    <x v="3"/>
    <x v="0"/>
    <x v="5"/>
    <n v="3.4"/>
    <n v="34.5"/>
    <n v="19.399999999999999"/>
    <n v="7.9136690647482022E-2"/>
    <n v="1.8518518518518516"/>
    <n v="18.95"/>
    <n v="6189.4800000000005"/>
    <n v="6.4947777777777773"/>
  </r>
  <r>
    <s v="ICICI Pru BHARAT 22 FOF  – Direct Growth"/>
    <n v="1000"/>
    <n v="5000"/>
    <n v="0.08"/>
    <n v="89"/>
    <x v="2"/>
    <s v="Kayzad Eghlim"/>
    <n v="2.76"/>
    <n v="9.68"/>
    <n v="10.414342770413338"/>
    <n v="0.88"/>
    <n v="1.47"/>
    <x v="0"/>
    <x v="0"/>
    <x v="3"/>
    <x v="3"/>
    <x v="1"/>
    <x v="1"/>
    <n v="22.1"/>
    <n v="35"/>
    <n v="9.4907264296754246"/>
    <n v="9.0909090909090912E-2"/>
    <n v="12.5"/>
    <n v="28.55"/>
    <n v="7.12"/>
    <n v="9.6840000000000011"/>
  </r>
  <r>
    <s v="HDFC Retirement Savings Fund"/>
    <n v="100"/>
    <n v="100"/>
    <n v="0.78"/>
    <n v="2696"/>
    <x v="1"/>
    <s v="Srinivasan Ramamurthy"/>
    <n v="4.32"/>
    <n v="9.26"/>
    <n v="10.312559764136591"/>
    <n v="0.85"/>
    <n v="1.92"/>
    <x v="0"/>
    <x v="0"/>
    <x v="6"/>
    <x v="3"/>
    <x v="4"/>
    <x v="12"/>
    <n v="11.6"/>
    <n v="34.9"/>
    <n v="14.8"/>
    <n v="9.1792656587473001E-2"/>
    <n v="1.2820512820512819"/>
    <n v="23.25"/>
    <n v="2102.88"/>
    <n v="7.4243076923076936"/>
  </r>
  <r>
    <s v="Parag Parikh Flexi Cap Fund"/>
    <n v="1000"/>
    <n v="1000"/>
    <n v="0.75"/>
    <n v="29953"/>
    <x v="0"/>
    <s v="Rajeev Thakkar"/>
    <n v="3.06"/>
    <n v="10.65"/>
    <n v="12.77923663169631"/>
    <n v="0.7"/>
    <n v="1.86"/>
    <x v="0"/>
    <x v="0"/>
    <x v="11"/>
    <x v="3"/>
    <x v="0"/>
    <x v="8"/>
    <n v="2.2999999999999998"/>
    <n v="33.6"/>
    <n v="17.600000000000001"/>
    <n v="6.5727699530516423E-2"/>
    <n v="1.3333333333333333"/>
    <n v="17.95"/>
    <n v="22464.75"/>
    <n v="6.17800000000000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C7879-5F08-409E-8CEB-417BDF2BC4AB}" name="Fund Maturity &amp; Stability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9:D105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axis="axisRow" numFmtId="1" showAll="0">
      <items count="6">
        <item x="3"/>
        <item x="2"/>
        <item x="1"/>
        <item x="4"/>
        <item x="0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dataField="1" numFmtId="2" showAll="0"/>
    <pivotField numFmtId="1" showAll="0"/>
    <pivotField showAll="0"/>
    <pivotField showAll="0"/>
    <pivotField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1" showAll="0"/>
    <pivotField dataField="1" numFmtId="2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Fund Stability" fld="24" subtotal="average" baseField="5" baseItem="0" numFmtId="1"/>
    <dataField name="Average of Composite_Score" fld="25" subtotal="average" baseField="5" baseItem="0" numFmtId="2"/>
    <dataField name="Average of sharpe" fld="11" subtotal="average" baseField="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F1927-5DB0-4B52-8910-AB0978244760}" name="Risk vs Return Trade-off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4:E49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dataField="1" numFmtId="2" showAll="0"/>
    <pivotField numFmtId="1" showAll="0">
      <items count="5">
        <item x="2"/>
        <item x="3"/>
        <item x="1"/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numFmtId="1" showAll="0"/>
    <pivotField showAll="0"/>
    <pivotField showAll="0"/>
    <pivotField numFmtId="2" showAll="0"/>
    <pivotField numFmtId="2" showAll="0"/>
    <pivotField dataField="1" numFmtId="2" showAll="0"/>
    <pivotField dataField="1" numFmtId="2" showAll="0"/>
    <pivotField numFmtId="2" showAll="0"/>
    <pivotField numFmtId="2" showAll="0"/>
    <pivotField numFmtId="1" showAll="0"/>
    <pivotField numFmtId="2" showAl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tandard_deviation" fld="9" subtotal="average" baseField="12" baseItem="0" numFmtId="2"/>
    <dataField name="Average of Risk-Adjusted Return Score" fld="21" subtotal="average" baseField="12" baseItem="0" numFmtId="2"/>
    <dataField name="Average of returns_5yr" fld="20" subtotal="average" baseField="12" baseItem="0" numFmtId="2"/>
    <dataField name="Average of sharpe" fld="11" subtotal="average" baseField="1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CB352-DFCF-4C5E-9447-48B7EB952635}" name="Executive Summary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E7" firstHeaderRow="0" firstDataRow="1" firstDataCol="1"/>
  <pivotFields count="25">
    <pivotField dataField="1" showAll="0"/>
    <pivotField numFmtId="1" showAll="0"/>
    <pivotField numFmtId="1" showAll="0"/>
    <pivotField dataField="1" numFmtId="2" showAll="0"/>
    <pivotField dataField="1"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showAll="0"/>
    <pivotField numFmtId="1"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Composite_Score" fld="24" subtotal="average" baseField="15" baseItem="0" numFmtId="2"/>
    <dataField name="Average of fund_size_cr" fld="4" subtotal="average" baseField="15" baseItem="0" numFmtId="1"/>
    <dataField name="Average of expense_ratio" fld="3" subtotal="average" baseField="15" baseItem="0" numFmtId="2"/>
    <dataField name="Count of scheme_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34912-64FC-4224-A0AC-E673F9282EB3}" name="Category Deep-Dive (Equity Focus)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6:E95" firstHeaderRow="0" firstDataRow="1" firstDataCol="1" rowPageCount="1" colPageCount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dataField="1" numFmtId="2" showAll="0"/>
    <pivotField numFmtId="1" showAll="0"/>
    <pivotField showAll="0"/>
    <pivotField showAll="0"/>
    <pivotField numFmtId="1" showAll="0"/>
    <pivotField axis="axisPage" showAll="0">
      <items count="6">
        <item x="2"/>
        <item x="0"/>
        <item x="3"/>
        <item x="1"/>
        <item x="4"/>
        <item t="default"/>
      </items>
    </pivotField>
    <pivotField axis="axisRow" showAll="0">
      <items count="14">
        <item x="9"/>
        <item x="11"/>
        <item x="4"/>
        <item x="6"/>
        <item x="3"/>
        <item x="8"/>
        <item x="1"/>
        <item x="10"/>
        <item x="7"/>
        <item x="0"/>
        <item x="12"/>
        <item x="2"/>
        <item x="5"/>
        <item t="default"/>
      </items>
    </pivotField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7"/>
  </rowFields>
  <rowItems count="9">
    <i>
      <x v="1"/>
    </i>
    <i>
      <x v="2"/>
    </i>
    <i>
      <x v="3"/>
    </i>
    <i>
      <x v="5"/>
    </i>
    <i>
      <x v="7"/>
    </i>
    <i>
      <x v="9"/>
    </i>
    <i>
      <x v="11"/>
    </i>
    <i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6" item="1" hier="-1"/>
  </pageFields>
  <dataFields count="4">
    <dataField name="Average of Composite_Score" fld="25" subtotal="average" baseField="16" baseItem="0" numFmtId="2"/>
    <dataField name="Average of standard_deviation" fld="9" subtotal="average" baseField="16" baseItem="0" numFmtId="2"/>
    <dataField name="Average of sharpe" fld="11" subtotal="average" baseField="16" baseItem="0" numFmtId="2"/>
    <dataField name="Average of returns_5yr" fld="20" subtotal="average" baseField="16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941C85-956A-4D88-A13C-772A7B37014F}" name="Ranking View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E41" firstHeaderRow="0" firstDataRow="1" firstDataCol="1"/>
  <pivotFields count="25">
    <pivotField axis="axisRow" showAll="0">
      <items count="31">
        <item x="5"/>
        <item x="26"/>
        <item x="25"/>
        <item x="28"/>
        <item x="9"/>
        <item x="8"/>
        <item x="14"/>
        <item x="27"/>
        <item x="6"/>
        <item x="7"/>
        <item x="4"/>
        <item x="3"/>
        <item x="13"/>
        <item x="1"/>
        <item x="12"/>
        <item x="11"/>
        <item x="29"/>
        <item x="23"/>
        <item x="21"/>
        <item x="0"/>
        <item x="20"/>
        <item x="17"/>
        <item x="22"/>
        <item x="19"/>
        <item x="16"/>
        <item x="18"/>
        <item x="24"/>
        <item x="15"/>
        <item x="2"/>
        <item x="10"/>
        <item t="default"/>
      </items>
    </pivotField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dataField="1" numFmtId="2" showAll="0"/>
    <pivotField numFmtId="1" showAll="0"/>
    <pivotField showAll="0"/>
    <pivotField numFmtId="1" showAll="0"/>
    <pivotField showAll="0"/>
    <pivotField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x of returns_5yr" fld="19" subtotal="max" baseField="0" baseItem="0" numFmtId="2"/>
    <dataField name="Max of Composite_Score" fld="24" subtotal="max" baseField="0" baseItem="0" numFmtId="2"/>
    <dataField name="Max of sharpe" fld="11" subtotal="max" baseField="0" baseItem="0" numFmtId="2"/>
    <dataField name="Average of standard_deviation" fld="9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81A5B-CEDF-42A6-9E1A-81F14D492230}" name="Consistency vs Short-Term Performance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8:D83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showAll="0"/>
    <pivotField showAll="0"/>
    <pivotField axis="axisRow" numFmtId="1" showAll="0">
      <items count="5">
        <item x="0"/>
        <item x="1"/>
        <item x="2"/>
        <item x="3"/>
        <item t="default"/>
      </items>
    </pivotField>
    <pivotField showAll="0"/>
    <pivotField showAll="0"/>
    <pivotField dataField="1"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mposite_Score" fld="25" subtotal="average" baseField="14" baseItem="0" numFmtId="2"/>
    <dataField name="Average of returns_5yr" fld="20" subtotal="average" baseField="14" baseItem="0" numFmtId="2"/>
    <dataField name="Average of returns_1yr" fld="18" subtotal="average" baseField="1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17DA82-A90F-4F24-9FB6-92497722522E}" name="ost Efficiency Analysis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8:D74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showAll="0"/>
    <pivotField showAll="0"/>
    <pivotField numFmtId="1" showAll="0"/>
    <pivotField axis="axisRow" showAll="0">
      <items count="6">
        <item x="2"/>
        <item x="0"/>
        <item x="3"/>
        <item x="1"/>
        <item x="4"/>
        <item t="default"/>
      </items>
    </pivotField>
    <pivotField showAll="0"/>
    <pivotField numFmtId="2" showAll="0"/>
    <pivotField numFmtId="2" showAll="0"/>
    <pivotField dataField="1" numFmtId="2" showAll="0"/>
    <pivotField numFmtId="2" showAll="0"/>
    <pivotField dataField="1" numFmtId="2" showAll="0"/>
    <pivotField numFmtId="2" showAll="0"/>
    <pivotField numFmtId="1" showAll="0"/>
    <pivotField dataField="1" numFmtId="2"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st Efficiency Score" fld="22" subtotal="average" baseField="15" baseItem="0" numFmtId="2"/>
    <dataField name="Average of returns_5yr" fld="20" subtotal="average" baseField="15" baseItem="0" numFmtId="2"/>
    <dataField name="Average of Composite_Score" fld="25" subtotal="average" baseField="15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3FA25-7E68-4F23-85B5-910AD99F1CAD}" name="Star Rating Validation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8:D123" firstHeaderRow="0" firstDataRow="1" firstDataCol="1"/>
  <pivotFields count="26">
    <pivotField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dataField="1" numFmtId="2" showAll="0"/>
    <pivotField numFmtId="1" showAll="0"/>
    <pivotField showAll="0"/>
    <pivotField showAll="0"/>
    <pivotField axis="axisRow" numFmtId="1" showAll="0">
      <items count="5">
        <item x="0"/>
        <item x="1"/>
        <item x="2"/>
        <item x="3"/>
        <item t="default"/>
      </items>
    </pivotField>
    <pivotField showAll="0"/>
    <pivotField showAll="0"/>
    <pivotField numFmtId="2" showAll="0"/>
    <pivotField numFmtId="2" showAll="0"/>
    <pivotField dataField="1"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turns_5yr" fld="20" subtotal="average" baseField="14" baseItem="0" numFmtId="2"/>
    <dataField name="Average of Composite_Score" fld="25" subtotal="average" baseField="14" baseItem="0" numFmtId="2"/>
    <dataField name="Average of sharpe" fld="11" subtotal="average" baseField="14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CCEA22-544F-4A14-A3DD-3438AAFCF128}" name="Risk Level Allocation Matrix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9:D114" firstHeaderRow="0" firstDataRow="1" firstDataCol="1"/>
  <pivotFields count="26">
    <pivotField dataField="1" showAll="0"/>
    <pivotField numFmtId="1" showAll="0"/>
    <pivotField numFmtId="1" showAll="0"/>
    <pivotField numFmtId="2" showAll="0"/>
    <pivotField numFmtId="1" showAll="0"/>
    <pivotField numFmtId="1" showAll="0"/>
    <pivotField showAll="0"/>
    <pivotField numFmtId="2" showAll="0"/>
    <pivotField numFmtId="2" showAll="0"/>
    <pivotField dataField="1" numFmtId="2" showAll="0"/>
    <pivotField numFmtId="2" showAll="0"/>
    <pivotField numFmtId="2" showAll="0"/>
    <pivotField axis="axisRow" numFmtId="1" showAll="0">
      <items count="5">
        <item x="2"/>
        <item x="3"/>
        <item x="1"/>
        <item x="0"/>
        <item t="default"/>
      </items>
    </pivotField>
    <pivotField showAll="0"/>
    <pivotField showAll="0"/>
    <pivotField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omposite_Score" fld="25" subtotal="average" baseField="12" baseItem="0" numFmtId="2"/>
    <dataField name="Count of scheme_name" fld="0" subtotal="count" baseField="0" baseItem="0"/>
    <dataField name="Average of standard_deviation" fld="9" subtotal="average" baseField="1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9BD80-461F-4636-B9E9-193B0E72B7B5}" name="AMC Performance Benchmark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2:E65" firstHeaderRow="0" firstDataRow="1" firstDataCol="1"/>
  <pivotFields count="26">
    <pivotField dataField="1" showAll="0"/>
    <pivotField numFmtId="1" showAll="0"/>
    <pivotField numFmtId="1" showAll="0"/>
    <pivotField dataField="1" numFmtId="2" showAll="0"/>
    <pivotField numFmtId="1" showAll="0"/>
    <pivotField numFmtId="1" showAll="0"/>
    <pivotField showAll="0"/>
    <pivotField numFmtId="2" showAll="0"/>
    <pivotField numFmtId="2" showAll="0"/>
    <pivotField numFmtId="2" showAll="0"/>
    <pivotField numFmtId="2" showAll="0"/>
    <pivotField dataField="1" numFmtId="2" showAll="0"/>
    <pivotField numFmtId="1" showAll="0"/>
    <pivotField showAll="0"/>
    <pivotField axis="axisRow" showAll="0">
      <items count="13">
        <item x="4"/>
        <item x="10"/>
        <item x="6"/>
        <item x="5"/>
        <item x="3"/>
        <item x="1"/>
        <item x="7"/>
        <item x="9"/>
        <item x="11"/>
        <item x="0"/>
        <item x="8"/>
        <item x="2"/>
        <item t="default"/>
      </items>
    </pivotField>
    <pivotField numFmtId="1" showAll="0"/>
    <pivotField showAll="0"/>
    <pivotField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1" showAll="0"/>
    <pivotField dataField="1" numFmtId="2" showAll="0"/>
  </pivotFields>
  <rowFields count="1">
    <field x="1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scheme_name" fld="0" subtotal="count" baseField="0" baseItem="0"/>
    <dataField name="Average of expense_ratio" fld="3" subtotal="average" baseField="13" baseItem="0" numFmtId="2"/>
    <dataField name="Average of Composite_Score" fld="25" subtotal="average" baseField="13" baseItem="0" numFmtId="2"/>
    <dataField name="Average of sharpe" fld="11" subtotal="average" baseField="13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0C6FC9-B25B-432E-9126-ECBB051AAF8F}" name="Table2" displayName="Table2" ref="A1:Z31" totalsRowShown="0" dataDxfId="26">
  <tableColumns count="26">
    <tableColumn id="1" xr3:uid="{2B0D3AC6-4331-47FC-AE01-A86EC2802956}" name="scheme_name" dataDxfId="25"/>
    <tableColumn id="2" xr3:uid="{6722CD20-5020-4C03-B630-7EBD662366CB}" name="min_sip" dataDxfId="24"/>
    <tableColumn id="3" xr3:uid="{73EC5690-EDC3-4824-9536-104FA9951C73}" name="min_lumpsum" dataDxfId="23"/>
    <tableColumn id="4" xr3:uid="{821DA6E8-FE16-4F51-8794-7A476A2E8C51}" name="expense_ratio" dataDxfId="22"/>
    <tableColumn id="5" xr3:uid="{12E6D1E5-72F0-48C3-8B32-C58EC189A891}" name="fund_size_cr" dataDxfId="21"/>
    <tableColumn id="6" xr3:uid="{1D6E9D3C-5CD5-42E0-A3C9-03E7F6C1E64F}" name="fund_age_yr" dataDxfId="20"/>
    <tableColumn id="7" xr3:uid="{B4E0F393-D664-481F-8FC2-85E75FAED928}" name="fund_manager" dataDxfId="19"/>
    <tableColumn id="8" xr3:uid="{F406DC52-4D9C-42FE-BADE-0902FEB20A49}" name="sortino_ratio" dataDxfId="18"/>
    <tableColumn id="9" xr3:uid="{5CDA6522-7485-4EE5-9205-9B9E3E1C7D6F}" name="alpha" dataDxfId="17"/>
    <tableColumn id="10" xr3:uid="{4A32F152-EACC-4C13-BBAC-7B9D95243689}" name="standard_deviation" dataDxfId="16">
      <calculatedColumnFormula>_xlfn.STDEV.P(S2,T2,U2)</calculatedColumnFormula>
    </tableColumn>
    <tableColumn id="11" xr3:uid="{136CA0B8-EA73-4538-AFA3-D75F3B38FF7E}" name="beta" dataDxfId="15"/>
    <tableColumn id="12" xr3:uid="{655BA477-20C9-4422-9241-9B5A515DFBC9}" name="sharpe" dataDxfId="14"/>
    <tableColumn id="13" xr3:uid="{5C95DAC5-0BC4-47FF-B06B-BBCB8CA9B728}" name="risk_level" dataDxfId="13"/>
    <tableColumn id="26" xr3:uid="{BF8E6BED-6ABD-4C28-B7F3-E70CFF9D09DE}" name="risk_bucket" dataDxfId="0">
      <calculatedColumnFormula>IF(M2=6,"High Risk",IF(M2=5,"Moderate",IF(M2=4,"Moderately Low","Low Risk")))</calculatedColumnFormula>
    </tableColumn>
    <tableColumn id="14" xr3:uid="{E0FE33E2-F42B-4CAC-90F0-12A0F0F916B2}" name="amc_name" dataDxfId="12"/>
    <tableColumn id="15" xr3:uid="{E4F97F4C-E81C-4F7F-B3B8-1085D497D182}" name="rating" dataDxfId="11"/>
    <tableColumn id="16" xr3:uid="{3BCBFFEB-F7A4-4DA5-A884-4A1E20CC7F36}" name="category" dataDxfId="10"/>
    <tableColumn id="17" xr3:uid="{608CEA14-5F42-4983-8859-A2A4AB443CA1}" name="sub_category" dataDxfId="9"/>
    <tableColumn id="18" xr3:uid="{39C1AD09-1B20-422D-B280-51D1BC9C12FA}" name="returns_1yr" dataDxfId="8"/>
    <tableColumn id="19" xr3:uid="{5463B7BE-C97E-4916-943B-197BAC5B7BF2}" name="returns_3yr" dataDxfId="7"/>
    <tableColumn id="20" xr3:uid="{FE8CFCAE-4EB5-4CB6-9C9B-C9FB8DE689F5}" name="returns_5yr" dataDxfId="6"/>
    <tableColumn id="21" xr3:uid="{782AF01D-9CA5-45A1-A82F-359E9D8EB895}" name="risk-adjusted return score" dataDxfId="5">
      <calculatedColumnFormula xml:space="preserve"> K2/I2</calculatedColumnFormula>
    </tableColumn>
    <tableColumn id="22" xr3:uid="{46CDDF73-0365-4D46-B352-598AC41A2F73}" name="cost efficiency score" dataDxfId="4">
      <calculatedColumnFormula xml:space="preserve"> 1/D2</calculatedColumnFormula>
    </tableColumn>
    <tableColumn id="23" xr3:uid="{6D3CDCB5-B0D5-4515-8DC5-FCC62799BB30}" name="consistency score" dataDxfId="3">
      <calculatedColumnFormula>(S2+T2)/2</calculatedColumnFormula>
    </tableColumn>
    <tableColumn id="24" xr3:uid="{18669E69-EF2E-49D3-895F-EB2A724185BF}" name="fund stability" dataDxfId="2">
      <calculatedColumnFormula>E2*D2</calculatedColumnFormula>
    </tableColumn>
    <tableColumn id="25" xr3:uid="{2EE2C98F-71BD-4C61-9F48-CD7CB251F482}" name="composite_score" dataDxfId="1">
      <calculatedColumnFormula xml:space="preserve"> 0.3*L2 + 0.25*H2 + 0.2*X2 + 0.15*(1/D2) + 0.1*I2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topLeftCell="S1" workbookViewId="0">
      <pane ySplit="1" topLeftCell="A2" activePane="bottomLeft" state="frozen"/>
      <selection activeCell="S1" sqref="S1"/>
      <selection pane="bottomLeft" activeCell="A5" sqref="A2:Z31"/>
    </sheetView>
  </sheetViews>
  <sheetFormatPr defaultRowHeight="14.5" x14ac:dyDescent="0.35"/>
  <cols>
    <col min="1" max="1" width="50" style="6" bestFit="1" customWidth="1"/>
    <col min="2" max="2" width="9.36328125" style="7" customWidth="1"/>
    <col min="3" max="3" width="14.81640625" style="7" customWidth="1"/>
    <col min="4" max="4" width="14.7265625" style="8" customWidth="1"/>
    <col min="5" max="5" width="13.36328125" style="7" customWidth="1"/>
    <col min="6" max="6" width="13.26953125" style="7" customWidth="1"/>
    <col min="7" max="7" width="21.453125" style="6" bestFit="1" customWidth="1"/>
    <col min="8" max="8" width="13.81640625" style="8" customWidth="1"/>
    <col min="9" max="9" width="7.453125" style="8" customWidth="1"/>
    <col min="10" max="10" width="19.1796875" style="8" customWidth="1"/>
    <col min="11" max="11" width="6.6328125" style="8" customWidth="1"/>
    <col min="12" max="12" width="8.54296875" style="8" customWidth="1"/>
    <col min="13" max="13" width="10.6328125" style="7" customWidth="1"/>
    <col min="14" max="14" width="25.54296875" style="6" bestFit="1" customWidth="1"/>
    <col min="15" max="15" width="25.54296875" style="7" bestFit="1" customWidth="1"/>
    <col min="16" max="17" width="15.54296875" style="6" bestFit="1" customWidth="1"/>
    <col min="18" max="18" width="31.1796875" style="8" bestFit="1" customWidth="1"/>
    <col min="19" max="20" width="12.6328125" style="8" customWidth="1"/>
    <col min="21" max="21" width="25.54296875" customWidth="1"/>
    <col min="22" max="22" width="26" style="8" bestFit="1" customWidth="1"/>
    <col min="23" max="23" width="17.90625" style="8" bestFit="1" customWidth="1"/>
    <col min="24" max="24" width="17.26953125" style="7" bestFit="1" customWidth="1"/>
    <col min="25" max="25" width="17.36328125" style="8" customWidth="1"/>
    <col min="26" max="26" width="15.453125" bestFit="1" customWidth="1"/>
    <col min="27" max="16384" width="8.7265625" style="6"/>
  </cols>
  <sheetData>
    <row r="1" spans="1:27" s="12" customFormat="1" x14ac:dyDescent="0.35">
      <c r="A1" s="1" t="s">
        <v>0</v>
      </c>
      <c r="B1" s="4" t="s">
        <v>1</v>
      </c>
      <c r="C1" s="4" t="s">
        <v>2</v>
      </c>
      <c r="D1" s="2" t="s">
        <v>3</v>
      </c>
      <c r="E1" s="4" t="s">
        <v>4</v>
      </c>
      <c r="F1" s="4" t="s">
        <v>5</v>
      </c>
      <c r="G1" s="1" t="s">
        <v>6</v>
      </c>
      <c r="H1" s="2" t="s">
        <v>100</v>
      </c>
      <c r="I1" s="2" t="s">
        <v>7</v>
      </c>
      <c r="J1" s="2" t="s">
        <v>101</v>
      </c>
      <c r="K1" s="2" t="s">
        <v>8</v>
      </c>
      <c r="L1" s="2" t="s">
        <v>9</v>
      </c>
      <c r="M1" s="4" t="s">
        <v>10</v>
      </c>
      <c r="N1" s="4" t="s">
        <v>128</v>
      </c>
      <c r="O1" s="1" t="s">
        <v>11</v>
      </c>
      <c r="P1" s="4" t="s">
        <v>12</v>
      </c>
      <c r="Q1" s="1" t="s">
        <v>13</v>
      </c>
      <c r="R1" s="1" t="s">
        <v>14</v>
      </c>
      <c r="S1" s="2" t="s">
        <v>15</v>
      </c>
      <c r="T1" s="2" t="s">
        <v>16</v>
      </c>
      <c r="U1" s="2" t="s">
        <v>17</v>
      </c>
      <c r="V1" s="10" t="s">
        <v>129</v>
      </c>
      <c r="W1" s="11" t="s">
        <v>130</v>
      </c>
      <c r="X1" s="10" t="s">
        <v>131</v>
      </c>
      <c r="Y1" s="13" t="s">
        <v>132</v>
      </c>
      <c r="Z1" s="2" t="s">
        <v>133</v>
      </c>
    </row>
    <row r="2" spans="1:27" x14ac:dyDescent="0.35">
      <c r="A2" s="6" t="s">
        <v>24</v>
      </c>
      <c r="B2" s="7">
        <v>1000</v>
      </c>
      <c r="C2" s="7">
        <v>5000</v>
      </c>
      <c r="D2" s="8">
        <v>0.57999999999999996</v>
      </c>
      <c r="E2" s="7">
        <v>3531</v>
      </c>
      <c r="F2" s="7">
        <v>10</v>
      </c>
      <c r="G2" s="6" t="s">
        <v>48</v>
      </c>
      <c r="H2" s="8">
        <v>3.33</v>
      </c>
      <c r="I2" s="8">
        <v>13.82</v>
      </c>
      <c r="J2" s="8">
        <f>_xlfn.STDEV.P(S2,T2,U2)</f>
        <v>18.235557451187372</v>
      </c>
      <c r="K2" s="8">
        <v>0.97</v>
      </c>
      <c r="L2" s="8">
        <v>1.87</v>
      </c>
      <c r="M2" s="7">
        <v>6</v>
      </c>
      <c r="N2" s="7" t="str">
        <f t="shared" ref="N2:N31" si="0">IF(M2=6,"High Risk",IF(M2=5,"Moderate",IF(M2=4,"Moderately Low","Low Risk")))</f>
        <v>High Risk</v>
      </c>
      <c r="O2" s="6" t="s">
        <v>70</v>
      </c>
      <c r="P2" s="7">
        <v>0</v>
      </c>
      <c r="Q2" s="6" t="s">
        <v>82</v>
      </c>
      <c r="R2" s="6" t="s">
        <v>93</v>
      </c>
      <c r="S2" s="8">
        <v>1</v>
      </c>
      <c r="T2" s="8">
        <v>45.5</v>
      </c>
      <c r="U2" s="8">
        <v>19.899999999999999</v>
      </c>
      <c r="V2" s="8">
        <f xml:space="preserve"> K2/I2</f>
        <v>7.0188133140376266E-2</v>
      </c>
      <c r="W2" s="8">
        <f xml:space="preserve"> 1/D2</f>
        <v>1.7241379310344829</v>
      </c>
      <c r="X2" s="8">
        <f>(S2+T2)/2</f>
        <v>23.25</v>
      </c>
      <c r="Y2" s="7">
        <f>E2*D2</f>
        <v>2047.9799999999998</v>
      </c>
      <c r="Z2" s="8">
        <f xml:space="preserve"> 0.3*L2 + 0.25*H2 + 0.2*X2 + 0.15*(1/D2) + 0.1*I2</f>
        <v>7.6841206896551721</v>
      </c>
      <c r="AA2"/>
    </row>
    <row r="3" spans="1:27" x14ac:dyDescent="0.35">
      <c r="A3" s="6" t="s">
        <v>33</v>
      </c>
      <c r="B3" s="7">
        <v>1000</v>
      </c>
      <c r="C3" s="7">
        <v>5000</v>
      </c>
      <c r="D3" s="8">
        <v>0.13</v>
      </c>
      <c r="E3" s="7">
        <v>783</v>
      </c>
      <c r="F3" s="7">
        <v>10</v>
      </c>
      <c r="G3" s="6" t="s">
        <v>57</v>
      </c>
      <c r="H3" s="8">
        <v>4.33</v>
      </c>
      <c r="I3" s="8">
        <v>8.0399999999999991</v>
      </c>
      <c r="J3" s="8">
        <f t="shared" ref="J3:J31" si="1">_xlfn.STDEV.P(S3,T3,U3)</f>
        <v>5.7863824815010494</v>
      </c>
      <c r="K3" s="8">
        <v>0.7</v>
      </c>
      <c r="L3" s="8">
        <v>1.91</v>
      </c>
      <c r="M3" s="7">
        <v>5</v>
      </c>
      <c r="N3" s="7" t="str">
        <f t="shared" si="0"/>
        <v>Moderate</v>
      </c>
      <c r="O3" s="6" t="s">
        <v>77</v>
      </c>
      <c r="P3" s="7">
        <v>0</v>
      </c>
      <c r="Q3" s="6" t="s">
        <v>84</v>
      </c>
      <c r="R3" s="6" t="s">
        <v>96</v>
      </c>
      <c r="S3" s="8">
        <v>11.2</v>
      </c>
      <c r="T3" s="8">
        <v>25</v>
      </c>
      <c r="U3" s="8">
        <v>15.3</v>
      </c>
      <c r="V3" s="8">
        <f xml:space="preserve"> K3/I3</f>
        <v>8.7064676616915429E-2</v>
      </c>
      <c r="W3" s="8">
        <f xml:space="preserve"> 1/D3</f>
        <v>7.6923076923076916</v>
      </c>
      <c r="X3" s="8">
        <f t="shared" ref="X3:X31" si="2">(S3+T3)/2</f>
        <v>18.100000000000001</v>
      </c>
      <c r="Y3" s="7">
        <f>E3*D3</f>
        <v>101.79</v>
      </c>
      <c r="Z3" s="8">
        <f xml:space="preserve"> 0.3*L3 + 0.25*H3 + 0.2*X3 + 0.15*(1/D3) + 0.1*I3</f>
        <v>7.2333461538461545</v>
      </c>
      <c r="AA3"/>
    </row>
    <row r="4" spans="1:27" x14ac:dyDescent="0.35">
      <c r="A4" s="6" t="s">
        <v>34</v>
      </c>
      <c r="B4" s="7">
        <v>150</v>
      </c>
      <c r="C4" s="7">
        <v>5000</v>
      </c>
      <c r="D4" s="8">
        <v>0.31</v>
      </c>
      <c r="E4" s="7">
        <v>6765</v>
      </c>
      <c r="F4" s="7">
        <v>7</v>
      </c>
      <c r="G4" s="6" t="s">
        <v>58</v>
      </c>
      <c r="H4" s="8">
        <v>2.29</v>
      </c>
      <c r="I4" s="8">
        <v>6.11</v>
      </c>
      <c r="J4" s="8">
        <f t="shared" si="1"/>
        <v>23.002946671145317</v>
      </c>
      <c r="K4" s="8">
        <v>0.92</v>
      </c>
      <c r="L4" s="8">
        <v>1.37</v>
      </c>
      <c r="M4" s="7">
        <v>6</v>
      </c>
      <c r="N4" s="7" t="str">
        <f t="shared" si="0"/>
        <v>High Risk</v>
      </c>
      <c r="O4" s="6" t="s">
        <v>72</v>
      </c>
      <c r="P4" s="7">
        <v>0</v>
      </c>
      <c r="Q4" s="6" t="s">
        <v>82</v>
      </c>
      <c r="R4" s="6" t="s">
        <v>88</v>
      </c>
      <c r="S4" s="8">
        <v>-16</v>
      </c>
      <c r="T4" s="8">
        <v>39</v>
      </c>
      <c r="U4" s="8">
        <v>22.1</v>
      </c>
      <c r="V4" s="8">
        <f xml:space="preserve"> K4/I4</f>
        <v>0.15057283142389524</v>
      </c>
      <c r="W4" s="8">
        <f xml:space="preserve"> 1/D4</f>
        <v>3.2258064516129035</v>
      </c>
      <c r="X4" s="8">
        <f t="shared" si="2"/>
        <v>11.5</v>
      </c>
      <c r="Y4" s="7">
        <f>E4*D4</f>
        <v>2097.15</v>
      </c>
      <c r="Z4" s="8">
        <f xml:space="preserve"> 0.3*L4 + 0.25*H4 + 0.2*X4 + 0.15*(1/D4) + 0.1*I4</f>
        <v>4.3783709677419358</v>
      </c>
      <c r="AA4"/>
    </row>
    <row r="5" spans="1:27" x14ac:dyDescent="0.35">
      <c r="A5" s="6" t="s">
        <v>35</v>
      </c>
      <c r="B5" s="7">
        <v>0</v>
      </c>
      <c r="C5" s="7">
        <v>5000</v>
      </c>
      <c r="D5" s="8">
        <v>0.34</v>
      </c>
      <c r="E5" s="7">
        <v>90</v>
      </c>
      <c r="F5" s="7">
        <v>5</v>
      </c>
      <c r="G5" s="6" t="s">
        <v>57</v>
      </c>
      <c r="H5" s="8">
        <v>3.71</v>
      </c>
      <c r="I5" s="8">
        <v>7.67</v>
      </c>
      <c r="J5" s="8">
        <f t="shared" si="1"/>
        <v>12.71543244338242</v>
      </c>
      <c r="K5" s="8">
        <v>0.95</v>
      </c>
      <c r="L5" s="8">
        <v>1.75</v>
      </c>
      <c r="M5" s="7">
        <v>6</v>
      </c>
      <c r="N5" s="7" t="str">
        <f t="shared" si="0"/>
        <v>High Risk</v>
      </c>
      <c r="O5" s="6" t="s">
        <v>77</v>
      </c>
      <c r="P5" s="7">
        <v>0</v>
      </c>
      <c r="Q5" s="6" t="s">
        <v>82</v>
      </c>
      <c r="R5" s="6" t="s">
        <v>93</v>
      </c>
      <c r="S5" s="8">
        <v>4.8</v>
      </c>
      <c r="T5" s="8">
        <v>35.5</v>
      </c>
      <c r="U5" s="8">
        <v>15.6</v>
      </c>
      <c r="V5" s="8">
        <f xml:space="preserve"> K5/I5</f>
        <v>0.12385919165580182</v>
      </c>
      <c r="W5" s="8">
        <f xml:space="preserve"> 1/D5</f>
        <v>2.9411764705882351</v>
      </c>
      <c r="X5" s="8">
        <f t="shared" si="2"/>
        <v>20.149999999999999</v>
      </c>
      <c r="Y5" s="7">
        <f>E5*D5</f>
        <v>30.6</v>
      </c>
      <c r="Z5" s="8">
        <f xml:space="preserve"> 0.3*L5 + 0.25*H5 + 0.2*X5 + 0.15*(1/D5) + 0.1*I5</f>
        <v>6.6906764705882358</v>
      </c>
      <c r="AA5"/>
    </row>
    <row r="6" spans="1:27" x14ac:dyDescent="0.35">
      <c r="A6" s="6" t="s">
        <v>36</v>
      </c>
      <c r="B6" s="7">
        <v>1000</v>
      </c>
      <c r="C6" s="7">
        <v>5000</v>
      </c>
      <c r="D6" s="8">
        <v>0.25</v>
      </c>
      <c r="E6" s="7">
        <v>958</v>
      </c>
      <c r="F6" s="7">
        <v>10</v>
      </c>
      <c r="G6" s="6" t="s">
        <v>59</v>
      </c>
      <c r="H6" s="8">
        <v>4.13</v>
      </c>
      <c r="I6" s="8">
        <v>6.63</v>
      </c>
      <c r="J6" s="8">
        <f t="shared" si="1"/>
        <v>12.548926470242609</v>
      </c>
      <c r="K6" s="8">
        <v>0.98</v>
      </c>
      <c r="L6" s="8">
        <v>1.63</v>
      </c>
      <c r="M6" s="7">
        <v>6</v>
      </c>
      <c r="N6" s="7" t="str">
        <f t="shared" si="0"/>
        <v>High Risk</v>
      </c>
      <c r="O6" s="6" t="s">
        <v>78</v>
      </c>
      <c r="P6" s="7">
        <v>0</v>
      </c>
      <c r="Q6" s="6" t="s">
        <v>84</v>
      </c>
      <c r="R6" s="6" t="s">
        <v>96</v>
      </c>
      <c r="S6" s="8">
        <v>5.4</v>
      </c>
      <c r="T6" s="8">
        <v>35.4</v>
      </c>
      <c r="U6" s="8">
        <v>14.6</v>
      </c>
      <c r="V6" s="8">
        <f xml:space="preserve"> K6/I6</f>
        <v>0.14781297134238311</v>
      </c>
      <c r="W6" s="8">
        <f xml:space="preserve"> 1/D6</f>
        <v>4</v>
      </c>
      <c r="X6" s="8">
        <f t="shared" si="2"/>
        <v>20.399999999999999</v>
      </c>
      <c r="Y6" s="7">
        <f>E6*D6</f>
        <v>239.5</v>
      </c>
      <c r="Z6" s="8">
        <f xml:space="preserve"> 0.3*L6 + 0.25*H6 + 0.2*X6 + 0.15*(1/D6) + 0.1*I6</f>
        <v>6.8644999999999996</v>
      </c>
      <c r="AA6"/>
    </row>
    <row r="7" spans="1:27" x14ac:dyDescent="0.35">
      <c r="A7" s="6" t="s">
        <v>38</v>
      </c>
      <c r="B7" s="7">
        <v>0</v>
      </c>
      <c r="C7" s="7">
        <v>0</v>
      </c>
      <c r="D7" s="8">
        <v>0.13</v>
      </c>
      <c r="E7" s="7">
        <v>110</v>
      </c>
      <c r="F7" s="7">
        <v>4</v>
      </c>
      <c r="G7" s="6" t="s">
        <v>61</v>
      </c>
      <c r="H7" s="8">
        <v>7.27</v>
      </c>
      <c r="I7" s="8">
        <v>5.29</v>
      </c>
      <c r="J7" s="8">
        <f t="shared" si="1"/>
        <v>1.4522013940527982</v>
      </c>
      <c r="K7" s="8">
        <v>2.36</v>
      </c>
      <c r="L7" s="8">
        <v>2.19</v>
      </c>
      <c r="M7" s="7">
        <v>2</v>
      </c>
      <c r="N7" s="7" t="str">
        <f t="shared" si="0"/>
        <v>Low Risk</v>
      </c>
      <c r="O7" s="6" t="s">
        <v>76</v>
      </c>
      <c r="P7" s="7">
        <v>0</v>
      </c>
      <c r="Q7" s="6" t="s">
        <v>85</v>
      </c>
      <c r="R7" s="6" t="s">
        <v>97</v>
      </c>
      <c r="S7" s="8">
        <v>11.2</v>
      </c>
      <c r="T7" s="8">
        <v>14.5</v>
      </c>
      <c r="U7" s="8">
        <v>14</v>
      </c>
      <c r="V7" s="8">
        <f xml:space="preserve"> K7/I7</f>
        <v>0.44612476370510395</v>
      </c>
      <c r="W7" s="8">
        <f xml:space="preserve"> 1/D7</f>
        <v>7.6923076923076916</v>
      </c>
      <c r="X7" s="8">
        <f t="shared" si="2"/>
        <v>12.85</v>
      </c>
      <c r="Y7" s="7">
        <f>E7*D7</f>
        <v>14.3</v>
      </c>
      <c r="Z7" s="8">
        <f xml:space="preserve"> 0.3*L7 + 0.25*H7 + 0.2*X7 + 0.15*(1/D7) + 0.1*I7</f>
        <v>6.7273461538461543</v>
      </c>
      <c r="AA7"/>
    </row>
    <row r="8" spans="1:27" x14ac:dyDescent="0.35">
      <c r="A8" s="6" t="s">
        <v>43</v>
      </c>
      <c r="B8" s="7">
        <v>100</v>
      </c>
      <c r="C8" s="7">
        <v>5000</v>
      </c>
      <c r="D8" s="8">
        <v>0.66</v>
      </c>
      <c r="E8" s="7">
        <v>1258</v>
      </c>
      <c r="F8" s="7">
        <v>9</v>
      </c>
      <c r="G8" s="6" t="s">
        <v>65</v>
      </c>
      <c r="H8" s="8">
        <v>5.0599999999999996</v>
      </c>
      <c r="I8" s="8">
        <v>10.39</v>
      </c>
      <c r="J8" s="8">
        <f t="shared" si="1"/>
        <v>12.95299193236837</v>
      </c>
      <c r="K8" s="8">
        <v>0.83</v>
      </c>
      <c r="L8" s="8">
        <v>1.94</v>
      </c>
      <c r="M8" s="7">
        <v>6</v>
      </c>
      <c r="N8" s="7" t="str">
        <f t="shared" si="0"/>
        <v>High Risk</v>
      </c>
      <c r="O8" s="6" t="s">
        <v>78</v>
      </c>
      <c r="P8" s="7">
        <v>0</v>
      </c>
      <c r="Q8" s="6" t="s">
        <v>82</v>
      </c>
      <c r="R8" s="6" t="s">
        <v>98</v>
      </c>
      <c r="S8" s="8">
        <v>8.5</v>
      </c>
      <c r="T8" s="8">
        <v>37.6</v>
      </c>
      <c r="U8" s="8">
        <v>12.1</v>
      </c>
      <c r="V8" s="8">
        <f t="shared" ref="V8:V31" si="3" xml:space="preserve"> K8/I8</f>
        <v>7.9884504331087569E-2</v>
      </c>
      <c r="W8" s="8">
        <f xml:space="preserve"> 1/D8</f>
        <v>1.5151515151515151</v>
      </c>
      <c r="X8" s="8">
        <f t="shared" si="2"/>
        <v>23.05</v>
      </c>
      <c r="Y8" s="7">
        <f>E8*D8</f>
        <v>830.28000000000009</v>
      </c>
      <c r="Z8" s="8">
        <f xml:space="preserve"> 0.3*L8 + 0.25*H8 + 0.2*X8 + 0.15*(1/D8) + 0.1*I8</f>
        <v>7.7232727272727288</v>
      </c>
      <c r="AA8"/>
    </row>
    <row r="9" spans="1:27" x14ac:dyDescent="0.35">
      <c r="A9" s="6" t="s">
        <v>41</v>
      </c>
      <c r="B9" s="7">
        <v>100</v>
      </c>
      <c r="C9" s="7">
        <v>5000</v>
      </c>
      <c r="D9" s="8">
        <v>0.81</v>
      </c>
      <c r="E9" s="7">
        <v>4618</v>
      </c>
      <c r="F9" s="7">
        <v>10</v>
      </c>
      <c r="G9" s="6" t="s">
        <v>63</v>
      </c>
      <c r="H9" s="8">
        <v>4.72</v>
      </c>
      <c r="I9" s="8">
        <v>8.49</v>
      </c>
      <c r="J9" s="8">
        <f t="shared" si="1"/>
        <v>14.675224775867047</v>
      </c>
      <c r="K9" s="8">
        <v>0.82</v>
      </c>
      <c r="L9" s="8">
        <v>1.94</v>
      </c>
      <c r="M9" s="7">
        <v>6</v>
      </c>
      <c r="N9" s="7" t="str">
        <f t="shared" si="0"/>
        <v>High Risk</v>
      </c>
      <c r="O9" s="6" t="s">
        <v>78</v>
      </c>
      <c r="P9" s="7">
        <v>3</v>
      </c>
      <c r="Q9" s="6" t="s">
        <v>82</v>
      </c>
      <c r="R9" s="6" t="s">
        <v>87</v>
      </c>
      <c r="S9" s="8">
        <v>7.7</v>
      </c>
      <c r="T9" s="8">
        <v>41.8</v>
      </c>
      <c r="U9" s="8">
        <v>14.9</v>
      </c>
      <c r="V9" s="8">
        <f t="shared" si="3"/>
        <v>9.6584216725559474E-2</v>
      </c>
      <c r="W9" s="8">
        <f xml:space="preserve"> 1/D9</f>
        <v>1.2345679012345678</v>
      </c>
      <c r="X9" s="8">
        <f t="shared" si="2"/>
        <v>24.75</v>
      </c>
      <c r="Y9" s="7">
        <f>E9*D9</f>
        <v>3740.5800000000004</v>
      </c>
      <c r="Z9" s="8">
        <f xml:space="preserve"> 0.3*L9 + 0.25*H9 + 0.2*X9 + 0.15*(1/D9) + 0.1*I9</f>
        <v>7.7461851851851851</v>
      </c>
      <c r="AA9"/>
    </row>
    <row r="10" spans="1:27" x14ac:dyDescent="0.35">
      <c r="A10" s="6" t="s">
        <v>42</v>
      </c>
      <c r="B10" s="7">
        <v>500</v>
      </c>
      <c r="C10" s="7">
        <v>5000</v>
      </c>
      <c r="D10" s="8">
        <v>0.77</v>
      </c>
      <c r="E10" s="7">
        <v>8625</v>
      </c>
      <c r="F10" s="7">
        <v>9</v>
      </c>
      <c r="G10" s="6" t="s">
        <v>64</v>
      </c>
      <c r="H10" s="8">
        <v>4.16</v>
      </c>
      <c r="I10" s="8">
        <v>9.8699999999999992</v>
      </c>
      <c r="J10" s="8">
        <f t="shared" si="1"/>
        <v>17.159124556793557</v>
      </c>
      <c r="K10" s="8">
        <v>0.82</v>
      </c>
      <c r="L10" s="8">
        <v>2.08</v>
      </c>
      <c r="M10" s="7">
        <v>6</v>
      </c>
      <c r="N10" s="7" t="str">
        <f t="shared" si="0"/>
        <v>High Risk</v>
      </c>
      <c r="O10" s="6" t="s">
        <v>79</v>
      </c>
      <c r="P10" s="7">
        <v>3</v>
      </c>
      <c r="Q10" s="6" t="s">
        <v>82</v>
      </c>
      <c r="R10" s="6" t="s">
        <v>87</v>
      </c>
      <c r="S10" s="8">
        <v>5.0999999999999996</v>
      </c>
      <c r="T10" s="8">
        <v>44.7</v>
      </c>
      <c r="U10" s="8">
        <v>12.7</v>
      </c>
      <c r="V10" s="8">
        <f t="shared" si="3"/>
        <v>8.3080040526849044E-2</v>
      </c>
      <c r="W10" s="8">
        <f xml:space="preserve"> 1/D10</f>
        <v>1.2987012987012987</v>
      </c>
      <c r="X10" s="8">
        <f t="shared" si="2"/>
        <v>24.900000000000002</v>
      </c>
      <c r="Y10" s="7">
        <f>E10*D10</f>
        <v>6641.25</v>
      </c>
      <c r="Z10" s="8">
        <f xml:space="preserve"> 0.3*L10 + 0.25*H10 + 0.2*X10 + 0.15*(1/D10) + 0.1*I10</f>
        <v>7.825805194805195</v>
      </c>
      <c r="AA10"/>
    </row>
    <row r="11" spans="1:27" x14ac:dyDescent="0.35">
      <c r="A11" s="6" t="s">
        <v>46</v>
      </c>
      <c r="B11" s="7">
        <v>100</v>
      </c>
      <c r="C11" s="7">
        <v>100</v>
      </c>
      <c r="D11" s="8">
        <v>0.8</v>
      </c>
      <c r="E11" s="7">
        <v>14648</v>
      </c>
      <c r="F11" s="7">
        <v>10</v>
      </c>
      <c r="G11" s="6" t="s">
        <v>68</v>
      </c>
      <c r="H11" s="8">
        <v>3.75</v>
      </c>
      <c r="I11" s="8">
        <v>6.54</v>
      </c>
      <c r="J11" s="8">
        <f t="shared" si="1"/>
        <v>14.383632673594278</v>
      </c>
      <c r="K11" s="8">
        <v>0.91</v>
      </c>
      <c r="L11" s="8">
        <v>1.88</v>
      </c>
      <c r="M11" s="7">
        <v>6</v>
      </c>
      <c r="N11" s="7" t="str">
        <f t="shared" si="0"/>
        <v>High Risk</v>
      </c>
      <c r="O11" s="6" t="s">
        <v>80</v>
      </c>
      <c r="P11" s="7">
        <v>3</v>
      </c>
      <c r="Q11" s="6" t="s">
        <v>82</v>
      </c>
      <c r="R11" s="6" t="s">
        <v>87</v>
      </c>
      <c r="S11" s="8">
        <v>12.5</v>
      </c>
      <c r="T11" s="8">
        <v>43.5</v>
      </c>
      <c r="U11" s="8">
        <v>13.5</v>
      </c>
      <c r="V11" s="8">
        <f t="shared" si="3"/>
        <v>0.13914373088685017</v>
      </c>
      <c r="W11" s="8">
        <f xml:space="preserve"> 1/D11</f>
        <v>1.25</v>
      </c>
      <c r="X11" s="8">
        <f t="shared" si="2"/>
        <v>28</v>
      </c>
      <c r="Y11" s="7">
        <f>E11*D11</f>
        <v>11718.400000000001</v>
      </c>
      <c r="Z11" s="8">
        <f xml:space="preserve"> 0.3*L11 + 0.25*H11 + 0.2*X11 + 0.15*(1/D11) + 0.1*I11</f>
        <v>7.9430000000000005</v>
      </c>
      <c r="AA11"/>
    </row>
    <row r="12" spans="1:27" x14ac:dyDescent="0.35">
      <c r="A12" s="6" t="s">
        <v>27</v>
      </c>
      <c r="B12" s="7">
        <v>150</v>
      </c>
      <c r="C12" s="7">
        <v>5000</v>
      </c>
      <c r="D12" s="8">
        <v>0.26</v>
      </c>
      <c r="E12" s="7">
        <v>3300</v>
      </c>
      <c r="F12" s="7">
        <v>4</v>
      </c>
      <c r="G12" s="6" t="s">
        <v>51</v>
      </c>
      <c r="H12" s="8">
        <v>3.98</v>
      </c>
      <c r="I12" s="8">
        <v>11.28</v>
      </c>
      <c r="J12" s="8">
        <f t="shared" si="1"/>
        <v>14.850001351790466</v>
      </c>
      <c r="K12" s="8">
        <v>0.77</v>
      </c>
      <c r="L12" s="8">
        <v>2.12</v>
      </c>
      <c r="M12" s="7">
        <v>6</v>
      </c>
      <c r="N12" s="7" t="str">
        <f t="shared" si="0"/>
        <v>High Risk</v>
      </c>
      <c r="O12" s="6" t="s">
        <v>72</v>
      </c>
      <c r="P12" s="7">
        <v>4</v>
      </c>
      <c r="Q12" s="6" t="s">
        <v>82</v>
      </c>
      <c r="R12" s="6" t="s">
        <v>87</v>
      </c>
      <c r="S12" s="8">
        <v>17.100000000000001</v>
      </c>
      <c r="T12" s="8">
        <v>44.1</v>
      </c>
      <c r="U12" s="8">
        <v>9.4907264296754246</v>
      </c>
      <c r="V12" s="8">
        <f t="shared" si="3"/>
        <v>6.8262411347517732E-2</v>
      </c>
      <c r="W12" s="8">
        <f xml:space="preserve"> 1/D12</f>
        <v>3.8461538461538458</v>
      </c>
      <c r="X12" s="8">
        <f t="shared" si="2"/>
        <v>30.6</v>
      </c>
      <c r="Y12" s="7">
        <f>E12*D12</f>
        <v>858</v>
      </c>
      <c r="Z12" s="8">
        <f xml:space="preserve"> 0.3*L12 + 0.25*H12 + 0.2*X12 + 0.15*(1/D12) + 0.1*I12</f>
        <v>9.455923076923078</v>
      </c>
      <c r="AA12"/>
    </row>
    <row r="13" spans="1:27" x14ac:dyDescent="0.35">
      <c r="A13" s="6" t="s">
        <v>30</v>
      </c>
      <c r="B13" s="7">
        <v>100</v>
      </c>
      <c r="C13" s="7">
        <v>5000</v>
      </c>
      <c r="D13" s="8">
        <v>0.86</v>
      </c>
      <c r="E13" s="7">
        <v>23910</v>
      </c>
      <c r="F13" s="7">
        <v>10</v>
      </c>
      <c r="G13" s="6" t="s">
        <v>54</v>
      </c>
      <c r="H13" s="8">
        <v>4.2</v>
      </c>
      <c r="I13" s="8">
        <v>10.01</v>
      </c>
      <c r="J13" s="8">
        <f t="shared" si="1"/>
        <v>16.757950020479509</v>
      </c>
      <c r="K13" s="8">
        <v>0.89</v>
      </c>
      <c r="L13" s="8">
        <v>2.06</v>
      </c>
      <c r="M13" s="7">
        <v>6</v>
      </c>
      <c r="N13" s="7" t="str">
        <f t="shared" si="0"/>
        <v>High Risk</v>
      </c>
      <c r="O13" s="6" t="s">
        <v>75</v>
      </c>
      <c r="P13" s="7">
        <v>4</v>
      </c>
      <c r="Q13" s="6" t="s">
        <v>82</v>
      </c>
      <c r="R13" s="6" t="s">
        <v>87</v>
      </c>
      <c r="S13" s="8">
        <v>8.6999999999999993</v>
      </c>
      <c r="T13" s="8">
        <v>47.6</v>
      </c>
      <c r="U13" s="8">
        <v>16.8</v>
      </c>
      <c r="V13" s="8">
        <f t="shared" si="3"/>
        <v>8.8911088911088912E-2</v>
      </c>
      <c r="W13" s="8">
        <f xml:space="preserve"> 1/D13</f>
        <v>1.1627906976744187</v>
      </c>
      <c r="X13" s="8">
        <f t="shared" si="2"/>
        <v>28.15</v>
      </c>
      <c r="Y13" s="7">
        <f>E13*D13</f>
        <v>20562.599999999999</v>
      </c>
      <c r="Z13" s="8">
        <f xml:space="preserve"> 0.3*L13 + 0.25*H13 + 0.2*X13 + 0.15*(1/D13) + 0.1*I13</f>
        <v>8.4734186046511635</v>
      </c>
      <c r="AA13"/>
    </row>
    <row r="14" spans="1:27" x14ac:dyDescent="0.35">
      <c r="A14" s="6" t="s">
        <v>32</v>
      </c>
      <c r="B14" s="7">
        <v>500</v>
      </c>
      <c r="C14" s="7">
        <v>500</v>
      </c>
      <c r="D14" s="8">
        <v>0.59</v>
      </c>
      <c r="E14" s="7">
        <v>8617</v>
      </c>
      <c r="F14" s="7">
        <v>10</v>
      </c>
      <c r="G14" s="6" t="s">
        <v>56</v>
      </c>
      <c r="H14" s="8">
        <v>4.0599999999999996</v>
      </c>
      <c r="I14" s="8">
        <v>8.99</v>
      </c>
      <c r="J14" s="8">
        <f t="shared" si="1"/>
        <v>17.990553076545481</v>
      </c>
      <c r="K14" s="8">
        <v>0.81</v>
      </c>
      <c r="L14" s="8">
        <v>1.98</v>
      </c>
      <c r="M14" s="7">
        <v>6</v>
      </c>
      <c r="N14" s="7" t="str">
        <f t="shared" si="0"/>
        <v>High Risk</v>
      </c>
      <c r="O14" s="6" t="s">
        <v>77</v>
      </c>
      <c r="P14" s="7">
        <v>4</v>
      </c>
      <c r="Q14" s="6" t="s">
        <v>82</v>
      </c>
      <c r="R14" s="6" t="s">
        <v>87</v>
      </c>
      <c r="S14" s="8">
        <v>-0.7</v>
      </c>
      <c r="T14" s="8">
        <v>43.1</v>
      </c>
      <c r="U14" s="8">
        <v>17</v>
      </c>
      <c r="V14" s="8">
        <f t="shared" si="3"/>
        <v>9.0100111234705238E-2</v>
      </c>
      <c r="W14" s="8">
        <f xml:space="preserve"> 1/D14</f>
        <v>1.6949152542372883</v>
      </c>
      <c r="X14" s="8">
        <f t="shared" si="2"/>
        <v>21.2</v>
      </c>
      <c r="Y14" s="7">
        <f>E14*D14</f>
        <v>5084.03</v>
      </c>
      <c r="Z14" s="8">
        <f xml:space="preserve"> 0.3*L14 + 0.25*H14 + 0.2*X14 + 0.15*(1/D14) + 0.1*I14</f>
        <v>7.0022372881355937</v>
      </c>
      <c r="AA14"/>
    </row>
    <row r="15" spans="1:27" x14ac:dyDescent="0.35">
      <c r="A15" s="6" t="s">
        <v>37</v>
      </c>
      <c r="B15" s="7">
        <v>1000</v>
      </c>
      <c r="C15" s="7">
        <v>5000</v>
      </c>
      <c r="D15" s="8">
        <v>1</v>
      </c>
      <c r="E15" s="7">
        <v>727</v>
      </c>
      <c r="F15" s="7">
        <v>10</v>
      </c>
      <c r="G15" s="6" t="s">
        <v>60</v>
      </c>
      <c r="H15" s="8">
        <v>4.55</v>
      </c>
      <c r="I15" s="8">
        <v>14.15</v>
      </c>
      <c r="J15" s="8">
        <f t="shared" si="1"/>
        <v>10.668645649753291</v>
      </c>
      <c r="K15" s="8">
        <v>0.6</v>
      </c>
      <c r="L15" s="8">
        <v>2</v>
      </c>
      <c r="M15" s="7">
        <v>6</v>
      </c>
      <c r="N15" s="7" t="str">
        <f t="shared" si="0"/>
        <v>High Risk</v>
      </c>
      <c r="O15" s="6" t="s">
        <v>77</v>
      </c>
      <c r="P15" s="7">
        <v>4</v>
      </c>
      <c r="Q15" s="6" t="s">
        <v>82</v>
      </c>
      <c r="R15" s="6" t="s">
        <v>88</v>
      </c>
      <c r="S15" s="8">
        <v>23.2</v>
      </c>
      <c r="T15" s="8">
        <v>39.700000000000003</v>
      </c>
      <c r="U15" s="8">
        <v>13.9</v>
      </c>
      <c r="V15" s="8">
        <f t="shared" si="3"/>
        <v>4.2402826855123671E-2</v>
      </c>
      <c r="W15" s="8">
        <f xml:space="preserve"> 1/D15</f>
        <v>1</v>
      </c>
      <c r="X15" s="8">
        <f t="shared" si="2"/>
        <v>31.450000000000003</v>
      </c>
      <c r="Y15" s="7">
        <f>E15*D15</f>
        <v>727</v>
      </c>
      <c r="Z15" s="8">
        <f xml:space="preserve"> 0.3*L15 + 0.25*H15 + 0.2*X15 + 0.15*(1/D15) + 0.1*I15</f>
        <v>9.5925000000000011</v>
      </c>
      <c r="AA15"/>
    </row>
    <row r="16" spans="1:27" x14ac:dyDescent="0.35">
      <c r="A16" s="6" t="s">
        <v>40</v>
      </c>
      <c r="B16" s="7">
        <v>1000</v>
      </c>
      <c r="C16" s="7">
        <v>5000</v>
      </c>
      <c r="D16" s="8">
        <v>0.18</v>
      </c>
      <c r="E16" s="7">
        <v>18393</v>
      </c>
      <c r="F16" s="7">
        <v>10</v>
      </c>
      <c r="G16" s="6" t="s">
        <v>59</v>
      </c>
      <c r="H16" s="8">
        <v>5.89</v>
      </c>
      <c r="I16" s="8">
        <v>7.45</v>
      </c>
      <c r="J16" s="8">
        <f t="shared" si="1"/>
        <v>5.3466500415369147</v>
      </c>
      <c r="K16" s="8">
        <v>0.53</v>
      </c>
      <c r="L16" s="8">
        <v>1.99</v>
      </c>
      <c r="M16" s="7">
        <v>4</v>
      </c>
      <c r="N16" s="7" t="str">
        <f t="shared" si="0"/>
        <v>Moderately Low</v>
      </c>
      <c r="O16" s="6" t="s">
        <v>78</v>
      </c>
      <c r="P16" s="7">
        <v>4</v>
      </c>
      <c r="Q16" s="6" t="s">
        <v>84</v>
      </c>
      <c r="R16" s="6" t="s">
        <v>96</v>
      </c>
      <c r="S16" s="8">
        <v>8.8000000000000007</v>
      </c>
      <c r="T16" s="8">
        <v>21.6</v>
      </c>
      <c r="U16" s="8">
        <v>12.8</v>
      </c>
      <c r="V16" s="8">
        <f t="shared" si="3"/>
        <v>7.1140939597315433E-2</v>
      </c>
      <c r="W16" s="8">
        <f xml:space="preserve"> 1/D16</f>
        <v>5.5555555555555554</v>
      </c>
      <c r="X16" s="8">
        <f t="shared" si="2"/>
        <v>15.200000000000001</v>
      </c>
      <c r="Y16" s="7">
        <f>E16*D16</f>
        <v>3310.74</v>
      </c>
      <c r="Z16" s="8">
        <f xml:space="preserve"> 0.3*L16 + 0.25*H16 + 0.2*X16 + 0.15*(1/D16) + 0.1*I16</f>
        <v>6.6878333333333337</v>
      </c>
      <c r="AA16"/>
    </row>
    <row r="17" spans="1:27" x14ac:dyDescent="0.35">
      <c r="A17" s="6" t="s">
        <v>44</v>
      </c>
      <c r="B17" s="7">
        <v>500</v>
      </c>
      <c r="C17" s="7">
        <v>5000</v>
      </c>
      <c r="D17" s="8">
        <v>0.7</v>
      </c>
      <c r="E17" s="7">
        <v>15395</v>
      </c>
      <c r="F17" s="7">
        <v>10</v>
      </c>
      <c r="G17" s="6" t="s">
        <v>66</v>
      </c>
      <c r="H17" s="8">
        <v>4.07</v>
      </c>
      <c r="I17" s="8">
        <v>6.48</v>
      </c>
      <c r="J17" s="8">
        <f t="shared" si="1"/>
        <v>12.847048947780447</v>
      </c>
      <c r="K17" s="8">
        <v>0.75</v>
      </c>
      <c r="L17" s="8">
        <v>1.88</v>
      </c>
      <c r="M17" s="7">
        <v>6</v>
      </c>
      <c r="N17" s="7" t="str">
        <f t="shared" si="0"/>
        <v>High Risk</v>
      </c>
      <c r="O17" s="6" t="s">
        <v>73</v>
      </c>
      <c r="P17" s="7">
        <v>4</v>
      </c>
      <c r="Q17" s="6" t="s">
        <v>82</v>
      </c>
      <c r="R17" s="6" t="s">
        <v>87</v>
      </c>
      <c r="S17" s="8">
        <v>8.1999999999999993</v>
      </c>
      <c r="T17" s="8">
        <v>38.299999999999997</v>
      </c>
      <c r="U17" s="8">
        <v>15.3</v>
      </c>
      <c r="V17" s="8">
        <f t="shared" si="3"/>
        <v>0.11574074074074073</v>
      </c>
      <c r="W17" s="8">
        <f xml:space="preserve"> 1/D17</f>
        <v>1.4285714285714286</v>
      </c>
      <c r="X17" s="8">
        <f t="shared" si="2"/>
        <v>23.25</v>
      </c>
      <c r="Y17" s="7">
        <f>E17*D17</f>
        <v>10776.5</v>
      </c>
      <c r="Z17" s="8">
        <f xml:space="preserve"> 0.3*L17 + 0.25*H17 + 0.2*X17 + 0.15*(1/D17) + 0.1*I17</f>
        <v>7.0937857142857155</v>
      </c>
      <c r="AA17"/>
    </row>
    <row r="18" spans="1:27" x14ac:dyDescent="0.35">
      <c r="A18" s="6" t="s">
        <v>18</v>
      </c>
      <c r="B18" s="7">
        <v>1000</v>
      </c>
      <c r="C18" s="7">
        <v>5000</v>
      </c>
      <c r="D18" s="8">
        <v>0.64</v>
      </c>
      <c r="E18" s="7">
        <v>3301</v>
      </c>
      <c r="F18" s="7">
        <v>10</v>
      </c>
      <c r="G18" s="6" t="s">
        <v>48</v>
      </c>
      <c r="H18" s="8">
        <v>3.71</v>
      </c>
      <c r="I18" s="8">
        <v>19.16</v>
      </c>
      <c r="J18" s="8">
        <f t="shared" si="1"/>
        <v>27.88085763067955</v>
      </c>
      <c r="K18" s="8">
        <v>0.99</v>
      </c>
      <c r="L18" s="8">
        <v>2.11</v>
      </c>
      <c r="M18" s="7">
        <v>6</v>
      </c>
      <c r="N18" s="7" t="str">
        <f t="shared" si="0"/>
        <v>High Risk</v>
      </c>
      <c r="O18" s="6" t="s">
        <v>70</v>
      </c>
      <c r="P18" s="7">
        <v>5</v>
      </c>
      <c r="Q18" s="6" t="s">
        <v>82</v>
      </c>
      <c r="R18" s="6" t="s">
        <v>87</v>
      </c>
      <c r="S18" s="8">
        <v>5.4</v>
      </c>
      <c r="T18" s="8">
        <v>71.400000000000006</v>
      </c>
      <c r="U18" s="8">
        <v>23.2</v>
      </c>
      <c r="V18" s="8">
        <f t="shared" si="3"/>
        <v>5.1670146137787053E-2</v>
      </c>
      <c r="W18" s="8">
        <f xml:space="preserve"> 1/D18</f>
        <v>1.5625</v>
      </c>
      <c r="X18" s="8">
        <f t="shared" si="2"/>
        <v>38.400000000000006</v>
      </c>
      <c r="Y18" s="7">
        <f>E18*D18</f>
        <v>2112.64</v>
      </c>
      <c r="Z18" s="8">
        <f xml:space="preserve"> 0.3*L18 + 0.25*H18 + 0.2*X18 + 0.15*(1/D18) + 0.1*I18</f>
        <v>11.390875000000001</v>
      </c>
      <c r="AA18"/>
    </row>
    <row r="19" spans="1:27" x14ac:dyDescent="0.35">
      <c r="A19" s="6" t="s">
        <v>19</v>
      </c>
      <c r="B19" s="7">
        <v>1000</v>
      </c>
      <c r="C19" s="7">
        <v>5000</v>
      </c>
      <c r="D19" s="8">
        <v>0.64</v>
      </c>
      <c r="E19" s="7">
        <v>822</v>
      </c>
      <c r="F19" s="7">
        <v>10</v>
      </c>
      <c r="G19" s="6" t="s">
        <v>49</v>
      </c>
      <c r="H19" s="8">
        <v>3.44</v>
      </c>
      <c r="I19" s="8">
        <v>27.24</v>
      </c>
      <c r="J19" s="8">
        <f t="shared" si="1"/>
        <v>23.563672605658628</v>
      </c>
      <c r="K19" s="8">
        <v>0.53</v>
      </c>
      <c r="L19" s="8">
        <v>2.2999999999999998</v>
      </c>
      <c r="M19" s="7">
        <v>6</v>
      </c>
      <c r="N19" s="7" t="str">
        <f t="shared" si="0"/>
        <v>High Risk</v>
      </c>
      <c r="O19" s="6" t="s">
        <v>70</v>
      </c>
      <c r="P19" s="7">
        <v>5</v>
      </c>
      <c r="Q19" s="6" t="s">
        <v>82</v>
      </c>
      <c r="R19" s="6" t="s">
        <v>88</v>
      </c>
      <c r="S19" s="8">
        <v>5.6</v>
      </c>
      <c r="T19" s="8">
        <v>61.5</v>
      </c>
      <c r="U19" s="8">
        <v>21.1</v>
      </c>
      <c r="V19" s="8">
        <f t="shared" si="3"/>
        <v>1.9456681350954481E-2</v>
      </c>
      <c r="W19" s="8">
        <f xml:space="preserve"> 1/D19</f>
        <v>1.5625</v>
      </c>
      <c r="X19" s="8">
        <f t="shared" si="2"/>
        <v>33.549999999999997</v>
      </c>
      <c r="Y19" s="7">
        <f>E19*D19</f>
        <v>526.08000000000004</v>
      </c>
      <c r="Z19" s="8">
        <f xml:space="preserve"> 0.3*L19 + 0.25*H19 + 0.2*X19 + 0.15*(1/D19) + 0.1*I19</f>
        <v>11.218375</v>
      </c>
      <c r="AA19"/>
    </row>
    <row r="20" spans="1:27" x14ac:dyDescent="0.35">
      <c r="A20" s="6" t="s">
        <v>20</v>
      </c>
      <c r="B20" s="7">
        <v>500</v>
      </c>
      <c r="C20" s="7">
        <v>500</v>
      </c>
      <c r="D20" s="8">
        <v>0.56999999999999995</v>
      </c>
      <c r="E20" s="7">
        <v>2779</v>
      </c>
      <c r="F20" s="7">
        <v>10</v>
      </c>
      <c r="G20" s="6" t="s">
        <v>49</v>
      </c>
      <c r="H20" s="8">
        <v>3.5</v>
      </c>
      <c r="I20" s="8">
        <v>17.63</v>
      </c>
      <c r="J20" s="8">
        <f t="shared" si="1"/>
        <v>22.208556909443711</v>
      </c>
      <c r="K20" s="8">
        <v>0.96</v>
      </c>
      <c r="L20" s="8">
        <v>2.0299999999999998</v>
      </c>
      <c r="M20" s="7">
        <v>6</v>
      </c>
      <c r="N20" s="7" t="str">
        <f t="shared" si="0"/>
        <v>High Risk</v>
      </c>
      <c r="O20" s="6" t="s">
        <v>70</v>
      </c>
      <c r="P20" s="7">
        <v>5</v>
      </c>
      <c r="Q20" s="6" t="s">
        <v>82</v>
      </c>
      <c r="R20" s="6" t="s">
        <v>89</v>
      </c>
      <c r="S20" s="8">
        <v>0.9</v>
      </c>
      <c r="T20" s="8">
        <v>54.9</v>
      </c>
      <c r="U20" s="8">
        <v>22.2</v>
      </c>
      <c r="V20" s="8">
        <f t="shared" si="3"/>
        <v>5.4452637549631311E-2</v>
      </c>
      <c r="W20" s="8">
        <f xml:space="preserve"> 1/D20</f>
        <v>1.7543859649122808</v>
      </c>
      <c r="X20" s="8">
        <f t="shared" si="2"/>
        <v>27.9</v>
      </c>
      <c r="Y20" s="7">
        <f>E20*D20</f>
        <v>1584.03</v>
      </c>
      <c r="Z20" s="8">
        <f xml:space="preserve"> 0.3*L20 + 0.25*H20 + 0.2*X20 + 0.15*(1/D20) + 0.1*I20</f>
        <v>9.0901578947368424</v>
      </c>
      <c r="AA20"/>
    </row>
    <row r="21" spans="1:27" x14ac:dyDescent="0.35">
      <c r="A21" s="6" t="s">
        <v>21</v>
      </c>
      <c r="B21" s="7">
        <v>1000</v>
      </c>
      <c r="C21" s="7">
        <v>5000</v>
      </c>
      <c r="D21" s="8">
        <v>0.56000000000000005</v>
      </c>
      <c r="E21" s="7">
        <v>634</v>
      </c>
      <c r="F21" s="7">
        <v>10</v>
      </c>
      <c r="G21" s="6" t="s">
        <v>49</v>
      </c>
      <c r="H21" s="8">
        <v>3.23</v>
      </c>
      <c r="I21" s="8">
        <v>19.52</v>
      </c>
      <c r="J21" s="8">
        <f t="shared" si="1"/>
        <v>13.376679541483957</v>
      </c>
      <c r="K21" s="8">
        <v>0.75</v>
      </c>
      <c r="L21" s="8">
        <v>1.79</v>
      </c>
      <c r="M21" s="7">
        <v>6</v>
      </c>
      <c r="N21" s="7" t="str">
        <f t="shared" si="0"/>
        <v>High Risk</v>
      </c>
      <c r="O21" s="6" t="s">
        <v>70</v>
      </c>
      <c r="P21" s="7">
        <v>5</v>
      </c>
      <c r="Q21" s="6" t="s">
        <v>83</v>
      </c>
      <c r="R21" s="6" t="s">
        <v>90</v>
      </c>
      <c r="S21" s="8">
        <v>10.6</v>
      </c>
      <c r="T21" s="8">
        <v>42.6</v>
      </c>
      <c r="U21" s="8">
        <v>20.5</v>
      </c>
      <c r="V21" s="8">
        <f t="shared" si="3"/>
        <v>3.8422131147540985E-2</v>
      </c>
      <c r="W21" s="8">
        <f xml:space="preserve"> 1/D21</f>
        <v>1.7857142857142856</v>
      </c>
      <c r="X21" s="8">
        <f t="shared" si="2"/>
        <v>26.6</v>
      </c>
      <c r="Y21" s="7">
        <f>E21*D21</f>
        <v>355.04</v>
      </c>
      <c r="Z21" s="8">
        <f xml:space="preserve"> 0.3*L21 + 0.25*H21 + 0.2*X21 + 0.15*(1/D21) + 0.1*I21</f>
        <v>8.8843571428571444</v>
      </c>
      <c r="AA21"/>
    </row>
    <row r="22" spans="1:27" x14ac:dyDescent="0.35">
      <c r="A22" s="6" t="s">
        <v>22</v>
      </c>
      <c r="B22" s="7">
        <v>1000</v>
      </c>
      <c r="C22" s="7">
        <v>5000</v>
      </c>
      <c r="D22" s="8">
        <v>0.57999999999999996</v>
      </c>
      <c r="E22" s="7">
        <v>1044</v>
      </c>
      <c r="F22" s="7">
        <v>10</v>
      </c>
      <c r="G22" s="6" t="s">
        <v>49</v>
      </c>
      <c r="H22" s="8">
        <v>3.65</v>
      </c>
      <c r="I22" s="8">
        <v>15.93</v>
      </c>
      <c r="J22" s="8">
        <f t="shared" si="1"/>
        <v>17.233752412699392</v>
      </c>
      <c r="K22" s="8">
        <v>0.91</v>
      </c>
      <c r="L22" s="8">
        <v>1.94</v>
      </c>
      <c r="M22" s="7">
        <v>6</v>
      </c>
      <c r="N22" s="7" t="str">
        <f t="shared" si="0"/>
        <v>High Risk</v>
      </c>
      <c r="O22" s="6" t="s">
        <v>70</v>
      </c>
      <c r="P22" s="7">
        <v>5</v>
      </c>
      <c r="Q22" s="6" t="s">
        <v>82</v>
      </c>
      <c r="R22" s="6" t="s">
        <v>91</v>
      </c>
      <c r="S22" s="8">
        <v>6.8</v>
      </c>
      <c r="T22" s="8">
        <v>47.7</v>
      </c>
      <c r="U22" s="8">
        <v>18.2</v>
      </c>
      <c r="V22" s="8">
        <f t="shared" si="3"/>
        <v>5.7124921531701199E-2</v>
      </c>
      <c r="W22" s="8">
        <f xml:space="preserve"> 1/D22</f>
        <v>1.7241379310344829</v>
      </c>
      <c r="X22" s="8">
        <f t="shared" si="2"/>
        <v>27.25</v>
      </c>
      <c r="Y22" s="7">
        <f>E22*D22</f>
        <v>605.52</v>
      </c>
      <c r="Z22" s="8">
        <f xml:space="preserve"> 0.3*L22 + 0.25*H22 + 0.2*X22 + 0.15*(1/D22) + 0.1*I22</f>
        <v>8.7961206896551722</v>
      </c>
      <c r="AA22"/>
    </row>
    <row r="23" spans="1:27" x14ac:dyDescent="0.35">
      <c r="A23" s="6" t="s">
        <v>23</v>
      </c>
      <c r="B23" s="7">
        <v>1000</v>
      </c>
      <c r="C23" s="7">
        <v>5000</v>
      </c>
      <c r="D23" s="8">
        <v>0.56000000000000005</v>
      </c>
      <c r="E23" s="7">
        <v>1013</v>
      </c>
      <c r="F23" s="7">
        <v>10</v>
      </c>
      <c r="G23" s="6" t="s">
        <v>48</v>
      </c>
      <c r="H23" s="8">
        <v>3.75</v>
      </c>
      <c r="I23" s="8">
        <v>16.98</v>
      </c>
      <c r="J23" s="8">
        <f t="shared" si="1"/>
        <v>12.731675284720222</v>
      </c>
      <c r="K23" s="8">
        <v>0.73</v>
      </c>
      <c r="L23" s="8">
        <v>2.12</v>
      </c>
      <c r="M23" s="7">
        <v>6</v>
      </c>
      <c r="N23" s="7" t="str">
        <f t="shared" si="0"/>
        <v>High Risk</v>
      </c>
      <c r="O23" s="6" t="s">
        <v>70</v>
      </c>
      <c r="P23" s="7">
        <v>5</v>
      </c>
      <c r="Q23" s="6" t="s">
        <v>83</v>
      </c>
      <c r="R23" s="6" t="s">
        <v>92</v>
      </c>
      <c r="S23" s="8">
        <v>7.3</v>
      </c>
      <c r="T23" s="8">
        <v>38.200000000000003</v>
      </c>
      <c r="U23" s="8">
        <v>19.100000000000001</v>
      </c>
      <c r="V23" s="8">
        <f t="shared" si="3"/>
        <v>4.2991755005889282E-2</v>
      </c>
      <c r="W23" s="8">
        <f xml:space="preserve"> 1/D23</f>
        <v>1.7857142857142856</v>
      </c>
      <c r="X23" s="8">
        <f t="shared" si="2"/>
        <v>22.75</v>
      </c>
      <c r="Y23" s="7">
        <f>E23*D23</f>
        <v>567.28000000000009</v>
      </c>
      <c r="Z23" s="8">
        <f xml:space="preserve"> 0.3*L23 + 0.25*H23 + 0.2*X23 + 0.15*(1/D23) + 0.1*I23</f>
        <v>8.0893571428571427</v>
      </c>
      <c r="AA23"/>
    </row>
    <row r="24" spans="1:27" x14ac:dyDescent="0.35">
      <c r="A24" s="6" t="s">
        <v>25</v>
      </c>
      <c r="B24" s="7">
        <v>1000</v>
      </c>
      <c r="C24" s="7">
        <v>5000</v>
      </c>
      <c r="D24" s="8">
        <v>0.63</v>
      </c>
      <c r="E24" s="7">
        <v>1550</v>
      </c>
      <c r="F24" s="7">
        <v>10</v>
      </c>
      <c r="G24" s="6" t="s">
        <v>48</v>
      </c>
      <c r="H24" s="8">
        <v>3.58</v>
      </c>
      <c r="I24" s="8">
        <v>11.21</v>
      </c>
      <c r="J24" s="8">
        <f t="shared" si="1"/>
        <v>15.197879969112654</v>
      </c>
      <c r="K24" s="8">
        <v>0.86</v>
      </c>
      <c r="L24" s="8">
        <v>1.95</v>
      </c>
      <c r="M24" s="7">
        <v>6</v>
      </c>
      <c r="N24" s="7" t="str">
        <f t="shared" si="0"/>
        <v>High Risk</v>
      </c>
      <c r="O24" s="6" t="s">
        <v>70</v>
      </c>
      <c r="P24" s="7">
        <v>5</v>
      </c>
      <c r="Q24" s="6" t="s">
        <v>82</v>
      </c>
      <c r="R24" s="6" t="s">
        <v>94</v>
      </c>
      <c r="S24" s="8">
        <v>8.8000000000000007</v>
      </c>
      <c r="T24" s="8">
        <v>45.1</v>
      </c>
      <c r="U24" s="8">
        <v>19.8</v>
      </c>
      <c r="V24" s="8">
        <f t="shared" si="3"/>
        <v>7.6717216770740407E-2</v>
      </c>
      <c r="W24" s="8">
        <f xml:space="preserve"> 1/D24</f>
        <v>1.5873015873015872</v>
      </c>
      <c r="X24" s="8">
        <f t="shared" si="2"/>
        <v>26.950000000000003</v>
      </c>
      <c r="Y24" s="7">
        <f>E24*D24</f>
        <v>976.5</v>
      </c>
      <c r="Z24" s="8">
        <f xml:space="preserve"> 0.3*L24 + 0.25*H24 + 0.2*X24 + 0.15*(1/D24) + 0.1*I24</f>
        <v>8.2290952380952387</v>
      </c>
      <c r="AA24"/>
    </row>
    <row r="25" spans="1:27" x14ac:dyDescent="0.35">
      <c r="A25" s="6" t="s">
        <v>26</v>
      </c>
      <c r="B25" s="7">
        <v>1000</v>
      </c>
      <c r="C25" s="7">
        <v>5000</v>
      </c>
      <c r="D25" s="8">
        <v>0.46</v>
      </c>
      <c r="E25" s="7">
        <v>7707</v>
      </c>
      <c r="F25" s="7">
        <v>9</v>
      </c>
      <c r="G25" s="6" t="s">
        <v>50</v>
      </c>
      <c r="H25" s="8">
        <v>4.6100000000000003</v>
      </c>
      <c r="I25" s="8">
        <v>6.9</v>
      </c>
      <c r="J25" s="8">
        <f t="shared" si="1"/>
        <v>16.776372273726718</v>
      </c>
      <c r="K25" s="8">
        <v>0.97</v>
      </c>
      <c r="L25" s="8">
        <v>1.92</v>
      </c>
      <c r="M25" s="7">
        <v>6</v>
      </c>
      <c r="N25" s="7" t="str">
        <f t="shared" si="0"/>
        <v>High Risk</v>
      </c>
      <c r="O25" s="6" t="s">
        <v>71</v>
      </c>
      <c r="P25" s="7">
        <v>5</v>
      </c>
      <c r="Q25" s="6" t="s">
        <v>82</v>
      </c>
      <c r="R25" s="6" t="s">
        <v>94</v>
      </c>
      <c r="S25" s="8">
        <v>2</v>
      </c>
      <c r="T25" s="8">
        <v>42.9</v>
      </c>
      <c r="U25" s="8">
        <v>19</v>
      </c>
      <c r="V25" s="8">
        <f t="shared" si="3"/>
        <v>0.14057971014492754</v>
      </c>
      <c r="W25" s="8">
        <f xml:space="preserve"> 1/D25</f>
        <v>2.1739130434782608</v>
      </c>
      <c r="X25" s="8">
        <f t="shared" si="2"/>
        <v>22.45</v>
      </c>
      <c r="Y25" s="7">
        <f>E25*D25</f>
        <v>3545.2200000000003</v>
      </c>
      <c r="Z25" s="8">
        <f xml:space="preserve"> 0.3*L25 + 0.25*H25 + 0.2*X25 + 0.15*(1/D25) + 0.1*I25</f>
        <v>7.2345869565217402</v>
      </c>
      <c r="AA25"/>
    </row>
    <row r="26" spans="1:27" x14ac:dyDescent="0.35">
      <c r="A26" s="6" t="s">
        <v>28</v>
      </c>
      <c r="B26" s="7">
        <v>500</v>
      </c>
      <c r="C26" s="7">
        <v>5000</v>
      </c>
      <c r="D26" s="8">
        <v>0.91</v>
      </c>
      <c r="E26" s="7">
        <v>8340</v>
      </c>
      <c r="F26" s="7">
        <v>10</v>
      </c>
      <c r="G26" s="6" t="s">
        <v>52</v>
      </c>
      <c r="H26" s="8">
        <v>4.43</v>
      </c>
      <c r="I26" s="8">
        <v>15.26</v>
      </c>
      <c r="J26" s="8">
        <f t="shared" si="1"/>
        <v>13.248731595473165</v>
      </c>
      <c r="K26" s="8">
        <v>0.89</v>
      </c>
      <c r="L26" s="8">
        <v>2.13</v>
      </c>
      <c r="M26" s="7">
        <v>6</v>
      </c>
      <c r="N26" s="7" t="str">
        <f t="shared" si="0"/>
        <v>High Risk</v>
      </c>
      <c r="O26" s="6" t="s">
        <v>73</v>
      </c>
      <c r="P26" s="7">
        <v>5</v>
      </c>
      <c r="Q26" s="6" t="s">
        <v>82</v>
      </c>
      <c r="R26" s="6" t="s">
        <v>95</v>
      </c>
      <c r="S26" s="8">
        <v>15</v>
      </c>
      <c r="T26" s="8">
        <v>43.4</v>
      </c>
      <c r="U26" s="8">
        <v>15.6</v>
      </c>
      <c r="V26" s="8">
        <f t="shared" si="3"/>
        <v>5.8322411533420708E-2</v>
      </c>
      <c r="W26" s="8">
        <f xml:space="preserve"> 1/D26</f>
        <v>1.0989010989010988</v>
      </c>
      <c r="X26" s="8">
        <f t="shared" si="2"/>
        <v>29.2</v>
      </c>
      <c r="Y26" s="7">
        <f>E26*D26</f>
        <v>7589.4000000000005</v>
      </c>
      <c r="Z26" s="8">
        <f xml:space="preserve"> 0.3*L26 + 0.25*H26 + 0.2*X26 + 0.15*(1/D26) + 0.1*I26</f>
        <v>9.277335164835165</v>
      </c>
      <c r="AA26"/>
    </row>
    <row r="27" spans="1:27" x14ac:dyDescent="0.35">
      <c r="A27" s="6" t="s">
        <v>29</v>
      </c>
      <c r="B27" s="7">
        <v>1000</v>
      </c>
      <c r="C27" s="7">
        <v>5000</v>
      </c>
      <c r="D27" s="8">
        <v>0.47</v>
      </c>
      <c r="E27" s="7">
        <v>4831</v>
      </c>
      <c r="F27" s="7">
        <v>4</v>
      </c>
      <c r="G27" s="6" t="s">
        <v>53</v>
      </c>
      <c r="H27" s="8">
        <v>4.62</v>
      </c>
      <c r="I27" s="8">
        <v>12.23</v>
      </c>
      <c r="J27" s="8">
        <f t="shared" si="1"/>
        <v>22.700115980925236</v>
      </c>
      <c r="K27" s="8">
        <v>0.79</v>
      </c>
      <c r="L27" s="8">
        <v>2.17</v>
      </c>
      <c r="M27" s="7">
        <v>6</v>
      </c>
      <c r="N27" s="7" t="str">
        <f t="shared" si="0"/>
        <v>High Risk</v>
      </c>
      <c r="O27" s="6" t="s">
        <v>74</v>
      </c>
      <c r="P27" s="7">
        <v>5</v>
      </c>
      <c r="Q27" s="6" t="s">
        <v>82</v>
      </c>
      <c r="R27" s="6" t="s">
        <v>87</v>
      </c>
      <c r="S27" s="8">
        <v>-0.6</v>
      </c>
      <c r="T27" s="8">
        <v>51.8</v>
      </c>
      <c r="U27" s="8">
        <v>9.4907264296754246</v>
      </c>
      <c r="V27" s="8">
        <f t="shared" si="3"/>
        <v>6.4595257563368771E-2</v>
      </c>
      <c r="W27" s="8">
        <f xml:space="preserve"> 1/D27</f>
        <v>2.1276595744680851</v>
      </c>
      <c r="X27" s="8">
        <f t="shared" si="2"/>
        <v>25.599999999999998</v>
      </c>
      <c r="Y27" s="7">
        <f>E27*D27</f>
        <v>2270.5699999999997</v>
      </c>
      <c r="Z27" s="8">
        <f xml:space="preserve"> 0.3*L27 + 0.25*H27 + 0.2*X27 + 0.15*(1/D27) + 0.1*I27</f>
        <v>8.4681489361702127</v>
      </c>
      <c r="AA27"/>
    </row>
    <row r="28" spans="1:27" x14ac:dyDescent="0.35">
      <c r="A28" s="6" t="s">
        <v>31</v>
      </c>
      <c r="B28" s="7">
        <v>500</v>
      </c>
      <c r="C28" s="7">
        <v>500</v>
      </c>
      <c r="D28" s="8">
        <v>0.54</v>
      </c>
      <c r="E28" s="7">
        <v>11462</v>
      </c>
      <c r="F28" s="7">
        <v>9</v>
      </c>
      <c r="G28" s="6" t="s">
        <v>55</v>
      </c>
      <c r="H28" s="8">
        <v>3.9</v>
      </c>
      <c r="I28" s="8">
        <v>8.34</v>
      </c>
      <c r="J28" s="8">
        <f t="shared" si="1"/>
        <v>12.698293848650167</v>
      </c>
      <c r="K28" s="8">
        <v>0.66</v>
      </c>
      <c r="L28" s="8">
        <v>2.06</v>
      </c>
      <c r="M28" s="7">
        <v>6</v>
      </c>
      <c r="N28" s="7" t="str">
        <f t="shared" si="0"/>
        <v>High Risk</v>
      </c>
      <c r="O28" s="6" t="s">
        <v>76</v>
      </c>
      <c r="P28" s="7">
        <v>5</v>
      </c>
      <c r="Q28" s="6" t="s">
        <v>82</v>
      </c>
      <c r="R28" s="6" t="s">
        <v>87</v>
      </c>
      <c r="S28" s="8">
        <v>3.4</v>
      </c>
      <c r="T28" s="8">
        <v>34.5</v>
      </c>
      <c r="U28" s="8">
        <v>19.399999999999999</v>
      </c>
      <c r="V28" s="8">
        <f t="shared" si="3"/>
        <v>7.9136690647482022E-2</v>
      </c>
      <c r="W28" s="8">
        <f xml:space="preserve"> 1/D28</f>
        <v>1.8518518518518516</v>
      </c>
      <c r="X28" s="8">
        <f t="shared" si="2"/>
        <v>18.95</v>
      </c>
      <c r="Y28" s="7">
        <f>E28*D28</f>
        <v>6189.4800000000005</v>
      </c>
      <c r="Z28" s="8">
        <f xml:space="preserve"> 0.3*L28 + 0.25*H28 + 0.2*X28 + 0.15*(1/D28) + 0.1*I28</f>
        <v>6.4947777777777773</v>
      </c>
      <c r="AA28"/>
    </row>
    <row r="29" spans="1:27" x14ac:dyDescent="0.35">
      <c r="A29" s="6" t="s">
        <v>39</v>
      </c>
      <c r="B29" s="7">
        <v>1000</v>
      </c>
      <c r="C29" s="7">
        <v>5000</v>
      </c>
      <c r="D29" s="8">
        <v>0.08</v>
      </c>
      <c r="E29" s="7">
        <v>89</v>
      </c>
      <c r="F29" s="7">
        <v>5</v>
      </c>
      <c r="G29" s="6" t="s">
        <v>62</v>
      </c>
      <c r="H29" s="8">
        <v>2.76</v>
      </c>
      <c r="I29" s="8">
        <v>9.68</v>
      </c>
      <c r="J29" s="8">
        <f t="shared" si="1"/>
        <v>10.414342770413338</v>
      </c>
      <c r="K29" s="8">
        <v>0.88</v>
      </c>
      <c r="L29" s="8">
        <v>1.47</v>
      </c>
      <c r="M29" s="7">
        <v>6</v>
      </c>
      <c r="N29" s="7" t="str">
        <f t="shared" si="0"/>
        <v>High Risk</v>
      </c>
      <c r="O29" s="6" t="s">
        <v>78</v>
      </c>
      <c r="P29" s="7">
        <v>5</v>
      </c>
      <c r="Q29" s="6" t="s">
        <v>84</v>
      </c>
      <c r="R29" s="6" t="s">
        <v>96</v>
      </c>
      <c r="S29" s="8">
        <v>22.1</v>
      </c>
      <c r="T29" s="8">
        <v>35</v>
      </c>
      <c r="U29" s="8">
        <v>9.4907264296754246</v>
      </c>
      <c r="V29" s="8">
        <f t="shared" si="3"/>
        <v>9.0909090909090912E-2</v>
      </c>
      <c r="W29" s="8">
        <f xml:space="preserve"> 1/D29</f>
        <v>12.5</v>
      </c>
      <c r="X29" s="8">
        <f t="shared" si="2"/>
        <v>28.55</v>
      </c>
      <c r="Y29" s="7">
        <f>E29*D29</f>
        <v>7.12</v>
      </c>
      <c r="Z29" s="8">
        <f xml:space="preserve"> 0.3*L29 + 0.25*H29 + 0.2*X29 + 0.15*(1/D29) + 0.1*I29</f>
        <v>9.6840000000000011</v>
      </c>
      <c r="AA29"/>
    </row>
    <row r="30" spans="1:27" x14ac:dyDescent="0.35">
      <c r="A30" s="6" t="s">
        <v>45</v>
      </c>
      <c r="B30" s="7">
        <v>100</v>
      </c>
      <c r="C30" s="7">
        <v>100</v>
      </c>
      <c r="D30" s="8">
        <v>0.78</v>
      </c>
      <c r="E30" s="7">
        <v>2696</v>
      </c>
      <c r="F30" s="7">
        <v>7</v>
      </c>
      <c r="G30" s="6" t="s">
        <v>67</v>
      </c>
      <c r="H30" s="8">
        <v>4.32</v>
      </c>
      <c r="I30" s="8">
        <v>9.26</v>
      </c>
      <c r="J30" s="8">
        <f t="shared" si="1"/>
        <v>10.312559764136591</v>
      </c>
      <c r="K30" s="8">
        <v>0.85</v>
      </c>
      <c r="L30" s="8">
        <v>1.92</v>
      </c>
      <c r="M30" s="7">
        <v>6</v>
      </c>
      <c r="N30" s="7" t="str">
        <f t="shared" si="0"/>
        <v>High Risk</v>
      </c>
      <c r="O30" s="6" t="s">
        <v>80</v>
      </c>
      <c r="P30" s="7">
        <v>5</v>
      </c>
      <c r="Q30" s="6" t="s">
        <v>86</v>
      </c>
      <c r="R30" s="6" t="s">
        <v>99</v>
      </c>
      <c r="S30" s="8">
        <v>11.6</v>
      </c>
      <c r="T30" s="8">
        <v>34.9</v>
      </c>
      <c r="U30" s="8">
        <v>14.8</v>
      </c>
      <c r="V30" s="8">
        <f t="shared" si="3"/>
        <v>9.1792656587473001E-2</v>
      </c>
      <c r="W30" s="8">
        <f xml:space="preserve"> 1/D30</f>
        <v>1.2820512820512819</v>
      </c>
      <c r="X30" s="8">
        <f t="shared" si="2"/>
        <v>23.25</v>
      </c>
      <c r="Y30" s="7">
        <f>E30*D30</f>
        <v>2102.88</v>
      </c>
      <c r="Z30" s="8">
        <f xml:space="preserve"> 0.3*L30 + 0.25*H30 + 0.2*X30 + 0.15*(1/D30) + 0.1*I30</f>
        <v>7.4243076923076936</v>
      </c>
      <c r="AA30"/>
    </row>
    <row r="31" spans="1:27" x14ac:dyDescent="0.35">
      <c r="A31" s="6" t="s">
        <v>47</v>
      </c>
      <c r="B31" s="7">
        <v>1000</v>
      </c>
      <c r="C31" s="7">
        <v>1000</v>
      </c>
      <c r="D31" s="8">
        <v>0.75</v>
      </c>
      <c r="E31" s="7">
        <v>29953</v>
      </c>
      <c r="F31" s="7">
        <v>10</v>
      </c>
      <c r="G31" s="6" t="s">
        <v>69</v>
      </c>
      <c r="H31" s="8">
        <v>3.06</v>
      </c>
      <c r="I31" s="8">
        <v>10.65</v>
      </c>
      <c r="J31" s="8">
        <f t="shared" si="1"/>
        <v>12.77923663169631</v>
      </c>
      <c r="K31" s="8">
        <v>0.7</v>
      </c>
      <c r="L31" s="8">
        <v>1.86</v>
      </c>
      <c r="M31" s="7">
        <v>6</v>
      </c>
      <c r="N31" s="7" t="str">
        <f t="shared" si="0"/>
        <v>High Risk</v>
      </c>
      <c r="O31" s="6" t="s">
        <v>81</v>
      </c>
      <c r="P31" s="7">
        <v>5</v>
      </c>
      <c r="Q31" s="6" t="s">
        <v>82</v>
      </c>
      <c r="R31" s="6" t="s">
        <v>91</v>
      </c>
      <c r="S31" s="8">
        <v>2.2999999999999998</v>
      </c>
      <c r="T31" s="8">
        <v>33.6</v>
      </c>
      <c r="U31" s="8">
        <v>17.600000000000001</v>
      </c>
      <c r="V31" s="8">
        <f t="shared" si="3"/>
        <v>6.5727699530516423E-2</v>
      </c>
      <c r="W31" s="8">
        <f xml:space="preserve"> 1/D31</f>
        <v>1.3333333333333333</v>
      </c>
      <c r="X31" s="8">
        <f t="shared" si="2"/>
        <v>17.95</v>
      </c>
      <c r="Y31" s="7">
        <f>E31*D31</f>
        <v>22464.75</v>
      </c>
      <c r="Z31" s="8">
        <f xml:space="preserve"> 0.3*L31 + 0.25*H31 + 0.2*X31 + 0.15*(1/D31) + 0.1*I31</f>
        <v>6.1780000000000008</v>
      </c>
      <c r="AA31"/>
    </row>
    <row r="32" spans="1:27" x14ac:dyDescent="0.35">
      <c r="U32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4A54-ECA8-4ACF-953E-16C8A5DDE1FB}">
  <dimension ref="A1:E124"/>
  <sheetViews>
    <sheetView topLeftCell="A37" workbookViewId="0">
      <selection activeCell="C47" sqref="C47"/>
    </sheetView>
  </sheetViews>
  <sheetFormatPr defaultRowHeight="14.5" x14ac:dyDescent="0.35"/>
  <cols>
    <col min="1" max="1" width="14.36328125" bestFit="1" customWidth="1"/>
    <col min="2" max="2" width="26.90625" bestFit="1" customWidth="1"/>
    <col min="3" max="3" width="33.453125" bestFit="1" customWidth="1"/>
    <col min="4" max="4" width="20.1796875" bestFit="1" customWidth="1"/>
    <col min="5" max="6" width="16" bestFit="1" customWidth="1"/>
  </cols>
  <sheetData>
    <row r="1" spans="1:5" x14ac:dyDescent="0.35">
      <c r="A1" s="14" t="s">
        <v>102</v>
      </c>
      <c r="B1" t="s">
        <v>107</v>
      </c>
      <c r="C1" t="s">
        <v>105</v>
      </c>
      <c r="D1" t="s">
        <v>106</v>
      </c>
      <c r="E1" t="s">
        <v>104</v>
      </c>
    </row>
    <row r="2" spans="1:5" x14ac:dyDescent="0.35">
      <c r="A2" s="15" t="s">
        <v>85</v>
      </c>
      <c r="B2" s="3">
        <v>6.7273461538461543</v>
      </c>
      <c r="C2" s="5">
        <v>110</v>
      </c>
      <c r="D2" s="3">
        <v>0.13</v>
      </c>
      <c r="E2">
        <v>1</v>
      </c>
    </row>
    <row r="3" spans="1:5" x14ac:dyDescent="0.35">
      <c r="A3" s="15" t="s">
        <v>82</v>
      </c>
      <c r="B3" s="3">
        <v>8.0903076625925525</v>
      </c>
      <c r="C3" s="5">
        <v>7421.5</v>
      </c>
      <c r="D3" s="3">
        <v>0.63045454545454571</v>
      </c>
      <c r="E3">
        <v>22</v>
      </c>
    </row>
    <row r="4" spans="1:5" x14ac:dyDescent="0.35">
      <c r="A4" s="15" t="s">
        <v>83</v>
      </c>
      <c r="B4" s="3">
        <v>8.4868571428571435</v>
      </c>
      <c r="C4" s="5">
        <v>823.5</v>
      </c>
      <c r="D4" s="3">
        <v>0.56000000000000005</v>
      </c>
      <c r="E4">
        <v>2</v>
      </c>
    </row>
    <row r="5" spans="1:5" x14ac:dyDescent="0.35">
      <c r="A5" s="15" t="s">
        <v>84</v>
      </c>
      <c r="B5" s="3">
        <v>7.6174198717948718</v>
      </c>
      <c r="C5" s="5">
        <v>5055.75</v>
      </c>
      <c r="D5" s="3">
        <v>0.16</v>
      </c>
      <c r="E5">
        <v>4</v>
      </c>
    </row>
    <row r="6" spans="1:5" x14ac:dyDescent="0.35">
      <c r="A6" s="15" t="s">
        <v>86</v>
      </c>
      <c r="B6" s="3">
        <v>7.4243076923076936</v>
      </c>
      <c r="C6" s="5">
        <v>2696</v>
      </c>
      <c r="D6" s="3">
        <v>0.78</v>
      </c>
      <c r="E6">
        <v>1</v>
      </c>
    </row>
    <row r="7" spans="1:5" x14ac:dyDescent="0.35">
      <c r="A7" s="15" t="s">
        <v>103</v>
      </c>
      <c r="B7" s="3">
        <v>7.9860605398694595</v>
      </c>
      <c r="C7" s="5">
        <v>6264.9666666666662</v>
      </c>
      <c r="D7" s="3">
        <v>0.55133333333333356</v>
      </c>
      <c r="E7">
        <v>30</v>
      </c>
    </row>
    <row r="8" spans="1:5" x14ac:dyDescent="0.35">
      <c r="A8" s="9"/>
      <c r="B8" s="9" t="s">
        <v>112</v>
      </c>
    </row>
    <row r="10" spans="1:5" x14ac:dyDescent="0.35">
      <c r="A10" s="14" t="s">
        <v>102</v>
      </c>
      <c r="B10" t="s">
        <v>109</v>
      </c>
      <c r="C10" t="s">
        <v>108</v>
      </c>
      <c r="D10" t="s">
        <v>110</v>
      </c>
      <c r="E10" t="s">
        <v>111</v>
      </c>
    </row>
    <row r="11" spans="1:5" x14ac:dyDescent="0.35">
      <c r="A11" s="15" t="s">
        <v>38</v>
      </c>
      <c r="B11" s="3">
        <v>14</v>
      </c>
      <c r="C11" s="3">
        <v>6.7273461538461543</v>
      </c>
      <c r="D11" s="3">
        <v>2.19</v>
      </c>
      <c r="E11" s="3">
        <v>1.4522013940527982</v>
      </c>
    </row>
    <row r="12" spans="1:5" x14ac:dyDescent="0.35">
      <c r="A12" s="15" t="s">
        <v>31</v>
      </c>
      <c r="B12" s="3">
        <v>19.399999999999999</v>
      </c>
      <c r="C12" s="3">
        <v>6.4947777777777773</v>
      </c>
      <c r="D12" s="3">
        <v>2.06</v>
      </c>
      <c r="E12" s="3">
        <v>12.698293848650167</v>
      </c>
    </row>
    <row r="13" spans="1:5" x14ac:dyDescent="0.35">
      <c r="A13" s="15" t="s">
        <v>29</v>
      </c>
      <c r="B13" s="3">
        <v>9.4907264296754246</v>
      </c>
      <c r="C13" s="3">
        <v>8.4681489361702127</v>
      </c>
      <c r="D13" s="3">
        <v>2.17</v>
      </c>
      <c r="E13" s="3">
        <v>22.700115980925236</v>
      </c>
    </row>
    <row r="14" spans="1:5" x14ac:dyDescent="0.35">
      <c r="A14" s="15" t="s">
        <v>45</v>
      </c>
      <c r="B14" s="3">
        <v>14.8</v>
      </c>
      <c r="C14" s="3">
        <v>7.4243076923076936</v>
      </c>
      <c r="D14" s="3">
        <v>1.92</v>
      </c>
      <c r="E14" s="3">
        <v>10.312559764136591</v>
      </c>
    </row>
    <row r="15" spans="1:5" x14ac:dyDescent="0.35">
      <c r="A15" s="15" t="s">
        <v>46</v>
      </c>
      <c r="B15" s="3">
        <v>13.5</v>
      </c>
      <c r="C15" s="3">
        <v>7.9430000000000005</v>
      </c>
      <c r="D15" s="3">
        <v>1.88</v>
      </c>
      <c r="E15" s="3">
        <v>14.383632673594278</v>
      </c>
    </row>
    <row r="16" spans="1:5" x14ac:dyDescent="0.35">
      <c r="A16" s="15" t="s">
        <v>42</v>
      </c>
      <c r="B16" s="3">
        <v>12.7</v>
      </c>
      <c r="C16" s="3">
        <v>7.825805194805195</v>
      </c>
      <c r="D16" s="3">
        <v>2.08</v>
      </c>
      <c r="E16" s="3">
        <v>17.159124556793557</v>
      </c>
    </row>
    <row r="17" spans="1:5" x14ac:dyDescent="0.35">
      <c r="A17" s="15" t="s">
        <v>40</v>
      </c>
      <c r="B17" s="3">
        <v>12.8</v>
      </c>
      <c r="C17" s="3">
        <v>6.6878333333333337</v>
      </c>
      <c r="D17" s="3">
        <v>1.99</v>
      </c>
      <c r="E17" s="3">
        <v>5.3466500415369147</v>
      </c>
    </row>
    <row r="18" spans="1:5" x14ac:dyDescent="0.35">
      <c r="A18" s="15" t="s">
        <v>39</v>
      </c>
      <c r="B18" s="3">
        <v>9.4907264296754246</v>
      </c>
      <c r="C18" s="3">
        <v>9.6840000000000011</v>
      </c>
      <c r="D18" s="3">
        <v>1.47</v>
      </c>
      <c r="E18" s="3">
        <v>10.414342770413338</v>
      </c>
    </row>
    <row r="19" spans="1:5" x14ac:dyDescent="0.35">
      <c r="A19" s="15" t="s">
        <v>43</v>
      </c>
      <c r="B19" s="3">
        <v>12.1</v>
      </c>
      <c r="C19" s="3">
        <v>7.7232727272727288</v>
      </c>
      <c r="D19" s="3">
        <v>1.94</v>
      </c>
      <c r="E19" s="3">
        <v>12.95299193236837</v>
      </c>
    </row>
    <row r="20" spans="1:5" x14ac:dyDescent="0.35">
      <c r="A20" s="15" t="s">
        <v>41</v>
      </c>
      <c r="B20" s="3">
        <v>14.9</v>
      </c>
      <c r="C20" s="3">
        <v>7.7461851851851851</v>
      </c>
      <c r="D20" s="3">
        <v>1.94</v>
      </c>
      <c r="E20" s="3">
        <v>14.675224775867047</v>
      </c>
    </row>
    <row r="21" spans="1:5" x14ac:dyDescent="0.35">
      <c r="A21" s="15" t="s">
        <v>36</v>
      </c>
      <c r="B21" s="3">
        <v>14.6</v>
      </c>
      <c r="C21" s="3">
        <v>6.8644999999999996</v>
      </c>
      <c r="D21" s="3">
        <v>1.63</v>
      </c>
      <c r="E21" s="3">
        <v>12.548926470242609</v>
      </c>
    </row>
    <row r="22" spans="1:5" x14ac:dyDescent="0.35">
      <c r="A22" s="15" t="s">
        <v>35</v>
      </c>
      <c r="B22" s="3">
        <v>15.6</v>
      </c>
      <c r="C22" s="3">
        <v>6.6906764705882358</v>
      </c>
      <c r="D22" s="3">
        <v>1.75</v>
      </c>
      <c r="E22" s="3">
        <v>12.71543244338242</v>
      </c>
    </row>
    <row r="23" spans="1:5" x14ac:dyDescent="0.35">
      <c r="A23" s="15" t="s">
        <v>37</v>
      </c>
      <c r="B23" s="3">
        <v>13.9</v>
      </c>
      <c r="C23" s="3">
        <v>9.5925000000000011</v>
      </c>
      <c r="D23" s="3">
        <v>2</v>
      </c>
      <c r="E23" s="3">
        <v>10.668645649753291</v>
      </c>
    </row>
    <row r="24" spans="1:5" x14ac:dyDescent="0.35">
      <c r="A24" s="15" t="s">
        <v>33</v>
      </c>
      <c r="B24" s="3">
        <v>15.3</v>
      </c>
      <c r="C24" s="3">
        <v>7.2333461538461545</v>
      </c>
      <c r="D24" s="3">
        <v>1.91</v>
      </c>
      <c r="E24" s="3">
        <v>5.7863824815010494</v>
      </c>
    </row>
    <row r="25" spans="1:5" x14ac:dyDescent="0.35">
      <c r="A25" s="15" t="s">
        <v>32</v>
      </c>
      <c r="B25" s="3">
        <v>17</v>
      </c>
      <c r="C25" s="3">
        <v>7.0022372881355937</v>
      </c>
      <c r="D25" s="3">
        <v>1.98</v>
      </c>
      <c r="E25" s="3">
        <v>17.990553076545481</v>
      </c>
    </row>
    <row r="26" spans="1:5" x14ac:dyDescent="0.35">
      <c r="A26" s="15" t="s">
        <v>30</v>
      </c>
      <c r="B26" s="3">
        <v>16.8</v>
      </c>
      <c r="C26" s="3">
        <v>8.4734186046511635</v>
      </c>
      <c r="D26" s="3">
        <v>2.06</v>
      </c>
      <c r="E26" s="3">
        <v>16.757950020479509</v>
      </c>
    </row>
    <row r="27" spans="1:5" x14ac:dyDescent="0.35">
      <c r="A27" s="15" t="s">
        <v>47</v>
      </c>
      <c r="B27" s="3">
        <v>17.600000000000001</v>
      </c>
      <c r="C27" s="3">
        <v>6.1780000000000008</v>
      </c>
      <c r="D27" s="3">
        <v>1.86</v>
      </c>
      <c r="E27" s="3">
        <v>12.77923663169631</v>
      </c>
    </row>
    <row r="28" spans="1:5" x14ac:dyDescent="0.35">
      <c r="A28" s="15" t="s">
        <v>26</v>
      </c>
      <c r="B28" s="3">
        <v>19</v>
      </c>
      <c r="C28" s="3">
        <v>7.2345869565217402</v>
      </c>
      <c r="D28" s="3">
        <v>1.92</v>
      </c>
      <c r="E28" s="3">
        <v>16.776372273726718</v>
      </c>
    </row>
    <row r="29" spans="1:5" x14ac:dyDescent="0.35">
      <c r="A29" s="15" t="s">
        <v>23</v>
      </c>
      <c r="B29" s="3">
        <v>19.100000000000001</v>
      </c>
      <c r="C29" s="3">
        <v>8.0893571428571427</v>
      </c>
      <c r="D29" s="3">
        <v>2.12</v>
      </c>
      <c r="E29" s="3">
        <v>12.731675284720222</v>
      </c>
    </row>
    <row r="30" spans="1:5" x14ac:dyDescent="0.35">
      <c r="A30" s="15" t="s">
        <v>24</v>
      </c>
      <c r="B30" s="3">
        <v>19.899999999999999</v>
      </c>
      <c r="C30" s="3">
        <v>7.6841206896551721</v>
      </c>
      <c r="D30" s="3">
        <v>1.87</v>
      </c>
      <c r="E30" s="3">
        <v>18.235557451187372</v>
      </c>
    </row>
    <row r="31" spans="1:5" x14ac:dyDescent="0.35">
      <c r="A31" s="15" t="s">
        <v>22</v>
      </c>
      <c r="B31" s="3">
        <v>18.2</v>
      </c>
      <c r="C31" s="3">
        <v>8.7961206896551722</v>
      </c>
      <c r="D31" s="3">
        <v>1.94</v>
      </c>
      <c r="E31" s="3">
        <v>17.233752412699392</v>
      </c>
    </row>
    <row r="32" spans="1:5" x14ac:dyDescent="0.35">
      <c r="A32" s="15" t="s">
        <v>19</v>
      </c>
      <c r="B32" s="3">
        <v>21.1</v>
      </c>
      <c r="C32" s="3">
        <v>11.218375</v>
      </c>
      <c r="D32" s="3">
        <v>2.2999999999999998</v>
      </c>
      <c r="E32" s="3">
        <v>23.563672605658628</v>
      </c>
    </row>
    <row r="33" spans="1:5" x14ac:dyDescent="0.35">
      <c r="A33" s="15" t="s">
        <v>25</v>
      </c>
      <c r="B33" s="3">
        <v>19.8</v>
      </c>
      <c r="C33" s="3">
        <v>8.2290952380952387</v>
      </c>
      <c r="D33" s="3">
        <v>1.95</v>
      </c>
      <c r="E33" s="3">
        <v>15.197879969112654</v>
      </c>
    </row>
    <row r="34" spans="1:5" x14ac:dyDescent="0.35">
      <c r="A34" s="15" t="s">
        <v>21</v>
      </c>
      <c r="B34" s="3">
        <v>20.5</v>
      </c>
      <c r="C34" s="3">
        <v>8.8843571428571444</v>
      </c>
      <c r="D34" s="3">
        <v>1.79</v>
      </c>
      <c r="E34" s="3">
        <v>13.376679541483957</v>
      </c>
    </row>
    <row r="35" spans="1:5" x14ac:dyDescent="0.35">
      <c r="A35" s="15" t="s">
        <v>18</v>
      </c>
      <c r="B35" s="3">
        <v>23.2</v>
      </c>
      <c r="C35" s="3">
        <v>11.390875000000001</v>
      </c>
      <c r="D35" s="3">
        <v>2.11</v>
      </c>
      <c r="E35" s="3">
        <v>27.88085763067955</v>
      </c>
    </row>
    <row r="36" spans="1:5" x14ac:dyDescent="0.35">
      <c r="A36" s="15" t="s">
        <v>20</v>
      </c>
      <c r="B36" s="3">
        <v>22.2</v>
      </c>
      <c r="C36" s="3">
        <v>9.0901578947368424</v>
      </c>
      <c r="D36" s="3">
        <v>2.0299999999999998</v>
      </c>
      <c r="E36" s="3">
        <v>22.208556909443711</v>
      </c>
    </row>
    <row r="37" spans="1:5" x14ac:dyDescent="0.35">
      <c r="A37" s="15" t="s">
        <v>28</v>
      </c>
      <c r="B37" s="3">
        <v>15.6</v>
      </c>
      <c r="C37" s="3">
        <v>9.277335164835165</v>
      </c>
      <c r="D37" s="3">
        <v>2.13</v>
      </c>
      <c r="E37" s="3">
        <v>13.248731595473165</v>
      </c>
    </row>
    <row r="38" spans="1:5" x14ac:dyDescent="0.35">
      <c r="A38" s="15" t="s">
        <v>44</v>
      </c>
      <c r="B38" s="3">
        <v>15.3</v>
      </c>
      <c r="C38" s="3">
        <v>7.0937857142857155</v>
      </c>
      <c r="D38" s="3">
        <v>1.88</v>
      </c>
      <c r="E38" s="3">
        <v>12.847048947780447</v>
      </c>
    </row>
    <row r="39" spans="1:5" x14ac:dyDescent="0.35">
      <c r="A39" s="15" t="s">
        <v>34</v>
      </c>
      <c r="B39" s="3">
        <v>22.1</v>
      </c>
      <c r="C39" s="3">
        <v>4.3783709677419358</v>
      </c>
      <c r="D39" s="3">
        <v>1.37</v>
      </c>
      <c r="E39" s="3">
        <v>23.002946671145317</v>
      </c>
    </row>
    <row r="40" spans="1:5" x14ac:dyDescent="0.35">
      <c r="A40" s="15" t="s">
        <v>27</v>
      </c>
      <c r="B40" s="3">
        <v>9.4907264296754246</v>
      </c>
      <c r="C40" s="3">
        <v>9.455923076923078</v>
      </c>
      <c r="D40" s="3">
        <v>2.12</v>
      </c>
      <c r="E40" s="3">
        <v>14.850001351790466</v>
      </c>
    </row>
    <row r="41" spans="1:5" x14ac:dyDescent="0.35">
      <c r="A41" s="15" t="s">
        <v>103</v>
      </c>
      <c r="B41" s="3">
        <v>23.2</v>
      </c>
      <c r="C41" s="3">
        <v>11.390875000000001</v>
      </c>
      <c r="D41" s="3">
        <v>2.2999999999999998</v>
      </c>
      <c r="E41" s="3">
        <v>14.749866571894682</v>
      </c>
    </row>
    <row r="42" spans="1:5" x14ac:dyDescent="0.35">
      <c r="C42" s="9" t="s">
        <v>113</v>
      </c>
    </row>
    <row r="44" spans="1:5" x14ac:dyDescent="0.35">
      <c r="A44" s="14" t="s">
        <v>102</v>
      </c>
      <c r="B44" t="s">
        <v>111</v>
      </c>
      <c r="C44" t="s">
        <v>114</v>
      </c>
      <c r="D44" t="s">
        <v>115</v>
      </c>
      <c r="E44" t="s">
        <v>116</v>
      </c>
    </row>
    <row r="45" spans="1:5" x14ac:dyDescent="0.35">
      <c r="A45" s="15" t="s">
        <v>134</v>
      </c>
      <c r="B45" s="3">
        <v>15.922620860731477</v>
      </c>
      <c r="C45" s="3">
        <v>8.2534881686389019E-2</v>
      </c>
      <c r="D45" s="3">
        <v>16.569339973667642</v>
      </c>
      <c r="E45" s="3">
        <v>1.9359259259259263</v>
      </c>
    </row>
    <row r="46" spans="1:5" x14ac:dyDescent="0.35">
      <c r="A46" s="15" t="s">
        <v>135</v>
      </c>
      <c r="B46" s="3">
        <v>1.4522013940527982</v>
      </c>
      <c r="C46" s="3">
        <v>0.44612476370510395</v>
      </c>
      <c r="D46" s="3">
        <v>14</v>
      </c>
      <c r="E46" s="3">
        <v>2.19</v>
      </c>
    </row>
    <row r="47" spans="1:5" x14ac:dyDescent="0.35">
      <c r="A47" s="15" t="s">
        <v>136</v>
      </c>
      <c r="B47" s="3">
        <v>5.7863824815010494</v>
      </c>
      <c r="C47" s="3">
        <v>8.7064676616915429E-2</v>
      </c>
      <c r="D47" s="3">
        <v>15.3</v>
      </c>
      <c r="E47" s="3">
        <v>1.91</v>
      </c>
    </row>
    <row r="48" spans="1:5" x14ac:dyDescent="0.35">
      <c r="A48" s="15" t="s">
        <v>137</v>
      </c>
      <c r="B48" s="3">
        <v>5.3466500415369147</v>
      </c>
      <c r="C48" s="3">
        <v>7.1140939597315433E-2</v>
      </c>
      <c r="D48" s="3">
        <v>12.8</v>
      </c>
      <c r="E48" s="3">
        <v>1.99</v>
      </c>
    </row>
    <row r="49" spans="1:5" x14ac:dyDescent="0.35">
      <c r="A49" s="15" t="s">
        <v>103</v>
      </c>
      <c r="B49" s="3">
        <v>14.749866571894689</v>
      </c>
      <c r="C49" s="3">
        <v>9.4425739515061266E-2</v>
      </c>
      <c r="D49" s="3">
        <v>16.315739309634214</v>
      </c>
      <c r="E49" s="3">
        <v>1.9453333333333336</v>
      </c>
    </row>
    <row r="50" spans="1:5" x14ac:dyDescent="0.35">
      <c r="C50" s="9" t="s">
        <v>117</v>
      </c>
    </row>
    <row r="52" spans="1:5" x14ac:dyDescent="0.35">
      <c r="A52" s="14" t="s">
        <v>102</v>
      </c>
      <c r="B52" t="s">
        <v>104</v>
      </c>
      <c r="C52" t="s">
        <v>106</v>
      </c>
      <c r="D52" t="s">
        <v>107</v>
      </c>
      <c r="E52" t="s">
        <v>116</v>
      </c>
    </row>
    <row r="53" spans="1:5" x14ac:dyDescent="0.35">
      <c r="A53" s="15" t="s">
        <v>76</v>
      </c>
      <c r="B53" s="17">
        <v>2</v>
      </c>
      <c r="C53" s="3">
        <v>0.33500000000000002</v>
      </c>
      <c r="D53" s="3">
        <v>6.6110619658119658</v>
      </c>
      <c r="E53" s="3">
        <v>2.125</v>
      </c>
    </row>
    <row r="54" spans="1:5" x14ac:dyDescent="0.35">
      <c r="A54" s="15" t="s">
        <v>74</v>
      </c>
      <c r="B54" s="17">
        <v>1</v>
      </c>
      <c r="C54" s="3">
        <v>0.47</v>
      </c>
      <c r="D54" s="3">
        <v>8.4681489361702127</v>
      </c>
      <c r="E54" s="3">
        <v>2.17</v>
      </c>
    </row>
    <row r="55" spans="1:5" x14ac:dyDescent="0.35">
      <c r="A55" s="15" t="s">
        <v>80</v>
      </c>
      <c r="B55" s="17">
        <v>2</v>
      </c>
      <c r="C55" s="3">
        <v>0.79</v>
      </c>
      <c r="D55" s="3">
        <v>7.6836538461538471</v>
      </c>
      <c r="E55" s="3">
        <v>1.9</v>
      </c>
    </row>
    <row r="56" spans="1:5" x14ac:dyDescent="0.35">
      <c r="A56" s="15" t="s">
        <v>79</v>
      </c>
      <c r="B56" s="17">
        <v>1</v>
      </c>
      <c r="C56" s="3">
        <v>0.77</v>
      </c>
      <c r="D56" s="3">
        <v>7.825805194805195</v>
      </c>
      <c r="E56" s="3">
        <v>2.08</v>
      </c>
    </row>
    <row r="57" spans="1:5" x14ac:dyDescent="0.35">
      <c r="A57" s="15" t="s">
        <v>78</v>
      </c>
      <c r="B57" s="17">
        <v>5</v>
      </c>
      <c r="C57" s="3">
        <v>0.39600000000000002</v>
      </c>
      <c r="D57" s="3">
        <v>7.7411582491582491</v>
      </c>
      <c r="E57" s="3">
        <v>1.794</v>
      </c>
    </row>
    <row r="58" spans="1:5" x14ac:dyDescent="0.35">
      <c r="A58" s="15" t="s">
        <v>77</v>
      </c>
      <c r="B58" s="17">
        <v>4</v>
      </c>
      <c r="C58" s="3">
        <v>0.51500000000000001</v>
      </c>
      <c r="D58" s="3">
        <v>7.6296899781424958</v>
      </c>
      <c r="E58" s="3">
        <v>1.9100000000000001</v>
      </c>
    </row>
    <row r="59" spans="1:5" x14ac:dyDescent="0.35">
      <c r="A59" s="15" t="s">
        <v>75</v>
      </c>
      <c r="B59" s="17">
        <v>1</v>
      </c>
      <c r="C59" s="3">
        <v>0.86</v>
      </c>
      <c r="D59" s="3">
        <v>8.4734186046511635</v>
      </c>
      <c r="E59" s="3">
        <v>2.06</v>
      </c>
    </row>
    <row r="60" spans="1:5" x14ac:dyDescent="0.35">
      <c r="A60" s="15" t="s">
        <v>71</v>
      </c>
      <c r="B60" s="17">
        <v>1</v>
      </c>
      <c r="C60" s="3">
        <v>0.46</v>
      </c>
      <c r="D60" s="3">
        <v>7.2345869565217402</v>
      </c>
      <c r="E60" s="3">
        <v>1.92</v>
      </c>
    </row>
    <row r="61" spans="1:5" x14ac:dyDescent="0.35">
      <c r="A61" s="15" t="s">
        <v>81</v>
      </c>
      <c r="B61" s="17">
        <v>1</v>
      </c>
      <c r="C61" s="3">
        <v>0.75</v>
      </c>
      <c r="D61" s="3">
        <v>6.1780000000000008</v>
      </c>
      <c r="E61" s="3">
        <v>1.86</v>
      </c>
    </row>
    <row r="62" spans="1:5" x14ac:dyDescent="0.35">
      <c r="A62" s="15" t="s">
        <v>70</v>
      </c>
      <c r="B62" s="17">
        <v>8</v>
      </c>
      <c r="C62" s="3">
        <v>0.59499999999999997</v>
      </c>
      <c r="D62" s="3">
        <v>9.1728073497320892</v>
      </c>
      <c r="E62" s="3">
        <v>2.0137499999999995</v>
      </c>
    </row>
    <row r="63" spans="1:5" x14ac:dyDescent="0.35">
      <c r="A63" s="15" t="s">
        <v>73</v>
      </c>
      <c r="B63" s="17">
        <v>2</v>
      </c>
      <c r="C63" s="3">
        <v>0.80499999999999994</v>
      </c>
      <c r="D63" s="3">
        <v>8.1855604395604402</v>
      </c>
      <c r="E63" s="3">
        <v>2.0049999999999999</v>
      </c>
    </row>
    <row r="64" spans="1:5" x14ac:dyDescent="0.35">
      <c r="A64" s="15" t="s">
        <v>72</v>
      </c>
      <c r="B64" s="17">
        <v>2</v>
      </c>
      <c r="C64" s="3">
        <v>0.28500000000000003</v>
      </c>
      <c r="D64" s="3">
        <v>6.9171470223325073</v>
      </c>
      <c r="E64" s="3">
        <v>1.7450000000000001</v>
      </c>
    </row>
    <row r="65" spans="1:5" x14ac:dyDescent="0.35">
      <c r="A65" s="15" t="s">
        <v>103</v>
      </c>
      <c r="B65" s="17">
        <v>30</v>
      </c>
      <c r="C65" s="3">
        <v>0.55133333333333356</v>
      </c>
      <c r="D65" s="3">
        <v>7.9860605398694595</v>
      </c>
      <c r="E65" s="3">
        <v>1.9453333333333329</v>
      </c>
    </row>
    <row r="66" spans="1:5" x14ac:dyDescent="0.35">
      <c r="C66" s="9" t="s">
        <v>118</v>
      </c>
    </row>
    <row r="68" spans="1:5" x14ac:dyDescent="0.35">
      <c r="A68" s="14" t="s">
        <v>102</v>
      </c>
      <c r="B68" t="s">
        <v>119</v>
      </c>
      <c r="C68" t="s">
        <v>115</v>
      </c>
      <c r="D68" t="s">
        <v>107</v>
      </c>
    </row>
    <row r="69" spans="1:5" x14ac:dyDescent="0.35">
      <c r="A69" s="15" t="s">
        <v>85</v>
      </c>
      <c r="B69" s="3">
        <v>7.6923076923076916</v>
      </c>
      <c r="C69" s="3">
        <v>14</v>
      </c>
      <c r="D69" s="3">
        <v>6.7273461538461543</v>
      </c>
    </row>
    <row r="70" spans="1:5" x14ac:dyDescent="0.35">
      <c r="A70" s="15" t="s">
        <v>82</v>
      </c>
      <c r="B70" s="3">
        <v>1.7772025991018623</v>
      </c>
      <c r="C70" s="3">
        <v>16.767338766334131</v>
      </c>
      <c r="D70" s="3">
        <v>8.0903076625925525</v>
      </c>
    </row>
    <row r="71" spans="1:5" x14ac:dyDescent="0.35">
      <c r="A71" s="15" t="s">
        <v>83</v>
      </c>
      <c r="B71" s="3">
        <v>1.7857142857142856</v>
      </c>
      <c r="C71" s="3">
        <v>19.8</v>
      </c>
      <c r="D71" s="3">
        <v>8.4868571428571435</v>
      </c>
    </row>
    <row r="72" spans="1:5" x14ac:dyDescent="0.35">
      <c r="A72" s="15" t="s">
        <v>84</v>
      </c>
      <c r="B72" s="3">
        <v>7.4369658119658117</v>
      </c>
      <c r="C72" s="3">
        <v>13.047681607418857</v>
      </c>
      <c r="D72" s="3">
        <v>7.6174198717948718</v>
      </c>
    </row>
    <row r="73" spans="1:5" x14ac:dyDescent="0.35">
      <c r="A73" s="15" t="s">
        <v>86</v>
      </c>
      <c r="B73" s="3">
        <v>1.2820512820512819</v>
      </c>
      <c r="C73" s="3">
        <v>14.8</v>
      </c>
      <c r="D73" s="3">
        <v>7.4243076923076936</v>
      </c>
    </row>
    <row r="74" spans="1:5" x14ac:dyDescent="0.35">
      <c r="A74" s="15" t="s">
        <v>103</v>
      </c>
      <c r="B74" s="3">
        <v>2.7130702657963917</v>
      </c>
      <c r="C74" s="3">
        <v>16.315739309634214</v>
      </c>
      <c r="D74" s="3">
        <v>7.9860605398694595</v>
      </c>
    </row>
    <row r="75" spans="1:5" x14ac:dyDescent="0.35">
      <c r="C75" s="9" t="s">
        <v>120</v>
      </c>
    </row>
    <row r="78" spans="1:5" x14ac:dyDescent="0.35">
      <c r="A78" s="14" t="s">
        <v>102</v>
      </c>
      <c r="B78" t="s">
        <v>107</v>
      </c>
      <c r="C78" t="s">
        <v>115</v>
      </c>
      <c r="D78" t="s">
        <v>121</v>
      </c>
    </row>
    <row r="79" spans="1:5" x14ac:dyDescent="0.35">
      <c r="A79" s="16">
        <v>0</v>
      </c>
      <c r="B79" s="3">
        <v>6.757376166135769</v>
      </c>
      <c r="C79" s="3">
        <v>16.228571428571428</v>
      </c>
      <c r="D79" s="3">
        <v>3.7285714285714282</v>
      </c>
    </row>
    <row r="80" spans="1:5" x14ac:dyDescent="0.35">
      <c r="A80" s="16">
        <v>3</v>
      </c>
      <c r="B80" s="3">
        <v>7.8383301266634602</v>
      </c>
      <c r="C80" s="3">
        <v>13.700000000000001</v>
      </c>
      <c r="D80" s="3">
        <v>8.4333333333333336</v>
      </c>
    </row>
    <row r="81" spans="1:5" x14ac:dyDescent="0.35">
      <c r="A81" s="16">
        <v>4</v>
      </c>
      <c r="B81" s="3">
        <v>8.0509496695548126</v>
      </c>
      <c r="C81" s="3">
        <v>14.21512107161257</v>
      </c>
      <c r="D81" s="3">
        <v>10.883333333333333</v>
      </c>
    </row>
    <row r="82" spans="1:5" x14ac:dyDescent="0.35">
      <c r="A82" s="16">
        <v>5</v>
      </c>
      <c r="B82" s="3">
        <v>8.604249616843866</v>
      </c>
      <c r="C82" s="3">
        <v>17.820103775667921</v>
      </c>
      <c r="D82" s="3">
        <v>7.2285714285714286</v>
      </c>
    </row>
    <row r="83" spans="1:5" x14ac:dyDescent="0.35">
      <c r="A83" s="16" t="s">
        <v>103</v>
      </c>
      <c r="B83" s="3">
        <v>7.9860605398694604</v>
      </c>
      <c r="C83" s="3">
        <v>16.315739309634214</v>
      </c>
      <c r="D83" s="3">
        <v>7.2633333333333345</v>
      </c>
    </row>
    <row r="84" spans="1:5" x14ac:dyDescent="0.35">
      <c r="A84" s="14" t="s">
        <v>13</v>
      </c>
      <c r="B84" t="s">
        <v>82</v>
      </c>
      <c r="C84" s="9" t="s">
        <v>122</v>
      </c>
    </row>
    <row r="86" spans="1:5" x14ac:dyDescent="0.35">
      <c r="A86" s="14" t="s">
        <v>102</v>
      </c>
      <c r="B86" t="s">
        <v>107</v>
      </c>
      <c r="C86" t="s">
        <v>111</v>
      </c>
      <c r="D86" t="s">
        <v>116</v>
      </c>
      <c r="E86" t="s">
        <v>115</v>
      </c>
    </row>
    <row r="87" spans="1:5" x14ac:dyDescent="0.35">
      <c r="A87" s="15" t="s">
        <v>95</v>
      </c>
      <c r="B87" s="3">
        <v>9.277335164835165</v>
      </c>
      <c r="C87" s="3">
        <v>13.248731595473165</v>
      </c>
      <c r="D87" s="3">
        <v>2.13</v>
      </c>
      <c r="E87" s="3">
        <v>15.6</v>
      </c>
    </row>
    <row r="88" spans="1:5" x14ac:dyDescent="0.35">
      <c r="A88" s="15" t="s">
        <v>98</v>
      </c>
      <c r="B88" s="3">
        <v>7.7232727272727288</v>
      </c>
      <c r="C88" s="3">
        <v>12.95299193236837</v>
      </c>
      <c r="D88" s="3">
        <v>1.94</v>
      </c>
      <c r="E88" s="3">
        <v>12.1</v>
      </c>
    </row>
    <row r="89" spans="1:5" x14ac:dyDescent="0.35">
      <c r="A89" s="15" t="s">
        <v>89</v>
      </c>
      <c r="B89" s="3">
        <v>9.0901578947368424</v>
      </c>
      <c r="C89" s="3">
        <v>22.208556909443711</v>
      </c>
      <c r="D89" s="3">
        <v>2.0299999999999998</v>
      </c>
      <c r="E89" s="3">
        <v>22.2</v>
      </c>
    </row>
    <row r="90" spans="1:5" x14ac:dyDescent="0.35">
      <c r="A90" s="15" t="s">
        <v>91</v>
      </c>
      <c r="B90" s="3">
        <v>7.4870603448275865</v>
      </c>
      <c r="C90" s="3">
        <v>15.006494522197851</v>
      </c>
      <c r="D90" s="3">
        <v>1.9</v>
      </c>
      <c r="E90" s="3">
        <v>17.899999999999999</v>
      </c>
    </row>
    <row r="91" spans="1:5" x14ac:dyDescent="0.35">
      <c r="A91" s="15" t="s">
        <v>94</v>
      </c>
      <c r="B91" s="3">
        <v>7.7318410973084895</v>
      </c>
      <c r="C91" s="3">
        <v>15.987126121419685</v>
      </c>
      <c r="D91" s="3">
        <v>1.9350000000000001</v>
      </c>
      <c r="E91" s="3">
        <v>19.399999999999999</v>
      </c>
    </row>
    <row r="92" spans="1:5" x14ac:dyDescent="0.35">
      <c r="A92" s="15" t="s">
        <v>93</v>
      </c>
      <c r="B92" s="3">
        <v>7.1873985801217035</v>
      </c>
      <c r="C92" s="3">
        <v>15.475494947284897</v>
      </c>
      <c r="D92" s="3">
        <v>1.81</v>
      </c>
      <c r="E92" s="3">
        <v>17.75</v>
      </c>
    </row>
    <row r="93" spans="1:5" x14ac:dyDescent="0.35">
      <c r="A93" s="15" t="s">
        <v>88</v>
      </c>
      <c r="B93" s="3">
        <v>8.3964153225806459</v>
      </c>
      <c r="C93" s="3">
        <v>19.078421642185745</v>
      </c>
      <c r="D93" s="3">
        <v>1.89</v>
      </c>
      <c r="E93" s="3">
        <v>19.033333333333335</v>
      </c>
    </row>
    <row r="94" spans="1:5" x14ac:dyDescent="0.35">
      <c r="A94" s="15" t="s">
        <v>87</v>
      </c>
      <c r="B94" s="3">
        <v>8.1894156777933915</v>
      </c>
      <c r="C94" s="3">
        <v>17.194280286310576</v>
      </c>
      <c r="D94" s="3">
        <v>2.0279999999999996</v>
      </c>
      <c r="E94" s="3">
        <v>15.178145285935082</v>
      </c>
    </row>
    <row r="95" spans="1:5" x14ac:dyDescent="0.35">
      <c r="A95" s="15" t="s">
        <v>103</v>
      </c>
      <c r="B95" s="3">
        <v>8.0903076625925507</v>
      </c>
      <c r="C95" s="3">
        <v>16.842117245852407</v>
      </c>
      <c r="D95" s="3">
        <v>1.9700000000000002</v>
      </c>
      <c r="E95" s="3">
        <v>16.767338766334127</v>
      </c>
    </row>
    <row r="96" spans="1:5" x14ac:dyDescent="0.35">
      <c r="C96" s="9" t="s">
        <v>123</v>
      </c>
    </row>
    <row r="99" spans="1:4" x14ac:dyDescent="0.35">
      <c r="A99" s="14" t="s">
        <v>102</v>
      </c>
      <c r="B99" t="s">
        <v>124</v>
      </c>
      <c r="C99" t="s">
        <v>107</v>
      </c>
      <c r="D99" t="s">
        <v>116</v>
      </c>
    </row>
    <row r="100" spans="1:4" x14ac:dyDescent="0.35">
      <c r="A100" s="16">
        <v>4</v>
      </c>
      <c r="B100" s="5">
        <v>1047.6233333333332</v>
      </c>
      <c r="C100" s="3">
        <v>8.217139388979815</v>
      </c>
      <c r="D100" s="3">
        <v>2.16</v>
      </c>
    </row>
    <row r="101" spans="1:4" x14ac:dyDescent="0.35">
      <c r="A101" s="16">
        <v>5</v>
      </c>
      <c r="B101" s="5">
        <v>18.86</v>
      </c>
      <c r="C101" s="3">
        <v>8.1873382352941189</v>
      </c>
      <c r="D101" s="3">
        <v>1.6099999999999999</v>
      </c>
    </row>
    <row r="102" spans="1:4" x14ac:dyDescent="0.35">
      <c r="A102" s="16">
        <v>7</v>
      </c>
      <c r="B102" s="5">
        <v>2100.0150000000003</v>
      </c>
      <c r="C102" s="3">
        <v>5.9013393300248147</v>
      </c>
      <c r="D102" s="3">
        <v>1.645</v>
      </c>
    </row>
    <row r="103" spans="1:4" x14ac:dyDescent="0.35">
      <c r="A103" s="16">
        <v>9</v>
      </c>
      <c r="B103" s="5">
        <v>4301.5574999999999</v>
      </c>
      <c r="C103" s="3">
        <v>7.3196106640943608</v>
      </c>
      <c r="D103" s="3">
        <v>2</v>
      </c>
    </row>
    <row r="104" spans="1:4" x14ac:dyDescent="0.35">
      <c r="A104" s="16">
        <v>10</v>
      </c>
      <c r="B104" s="5">
        <v>5004.7557894736838</v>
      </c>
      <c r="C104" s="3">
        <v>8.2881368548488954</v>
      </c>
      <c r="D104" s="3">
        <v>1.9668421052631582</v>
      </c>
    </row>
    <row r="105" spans="1:4" x14ac:dyDescent="0.35">
      <c r="A105" s="16" t="s">
        <v>103</v>
      </c>
      <c r="B105" s="5">
        <v>3989.2403333333336</v>
      </c>
      <c r="C105" s="3">
        <v>7.9860605398694586</v>
      </c>
      <c r="D105" s="3">
        <v>1.9453333333333334</v>
      </c>
    </row>
    <row r="106" spans="1:4" x14ac:dyDescent="0.35">
      <c r="B106" s="9" t="s">
        <v>125</v>
      </c>
    </row>
    <row r="109" spans="1:4" x14ac:dyDescent="0.35">
      <c r="A109" s="14" t="s">
        <v>102</v>
      </c>
      <c r="B109" t="s">
        <v>107</v>
      </c>
      <c r="C109" t="s">
        <v>104</v>
      </c>
      <c r="D109" t="s">
        <v>111</v>
      </c>
    </row>
    <row r="110" spans="1:4" x14ac:dyDescent="0.35">
      <c r="A110" s="16">
        <v>2</v>
      </c>
      <c r="B110" s="3">
        <v>6.7273461538461543</v>
      </c>
      <c r="C110" s="17">
        <v>1</v>
      </c>
      <c r="D110" s="3">
        <v>1.4522013940527982</v>
      </c>
    </row>
    <row r="111" spans="1:4" x14ac:dyDescent="0.35">
      <c r="A111" s="16">
        <v>4</v>
      </c>
      <c r="B111" s="3">
        <v>6.6878333333333337</v>
      </c>
      <c r="C111" s="17">
        <v>1</v>
      </c>
      <c r="D111" s="3">
        <v>5.3466500415369147</v>
      </c>
    </row>
    <row r="112" spans="1:4" x14ac:dyDescent="0.35">
      <c r="A112" s="16">
        <v>5</v>
      </c>
      <c r="B112" s="3">
        <v>7.2333461538461545</v>
      </c>
      <c r="C112" s="17">
        <v>1</v>
      </c>
      <c r="D112" s="3">
        <v>5.7863824815010494</v>
      </c>
    </row>
    <row r="113" spans="1:4" x14ac:dyDescent="0.35">
      <c r="A113" s="16">
        <v>6</v>
      </c>
      <c r="B113" s="3">
        <v>8.1086403909280786</v>
      </c>
      <c r="C113" s="17">
        <v>27</v>
      </c>
      <c r="D113" s="3">
        <v>15.922620860731477</v>
      </c>
    </row>
    <row r="114" spans="1:4" x14ac:dyDescent="0.35">
      <c r="A114" s="16" t="s">
        <v>103</v>
      </c>
      <c r="B114" s="3">
        <v>7.9860605398694595</v>
      </c>
      <c r="C114" s="17">
        <v>30</v>
      </c>
      <c r="D114" s="3">
        <v>14.749866571894687</v>
      </c>
    </row>
    <row r="115" spans="1:4" x14ac:dyDescent="0.35">
      <c r="B115" s="9" t="s">
        <v>126</v>
      </c>
    </row>
    <row r="118" spans="1:4" x14ac:dyDescent="0.35">
      <c r="A118" s="14" t="s">
        <v>102</v>
      </c>
      <c r="B118" t="s">
        <v>115</v>
      </c>
      <c r="C118" t="s">
        <v>107</v>
      </c>
      <c r="D118" t="s">
        <v>116</v>
      </c>
    </row>
    <row r="119" spans="1:4" x14ac:dyDescent="0.35">
      <c r="A119" s="16">
        <v>0</v>
      </c>
      <c r="B119" s="3">
        <v>16.228571428571428</v>
      </c>
      <c r="C119" s="3">
        <v>6.757376166135769</v>
      </c>
      <c r="D119" s="3">
        <v>1.8085714285714285</v>
      </c>
    </row>
    <row r="120" spans="1:4" x14ac:dyDescent="0.35">
      <c r="A120" s="16">
        <v>3</v>
      </c>
      <c r="B120" s="3">
        <v>13.700000000000001</v>
      </c>
      <c r="C120" s="3">
        <v>7.8383301266634602</v>
      </c>
      <c r="D120" s="3">
        <v>1.9666666666666666</v>
      </c>
    </row>
    <row r="121" spans="1:4" x14ac:dyDescent="0.35">
      <c r="A121" s="16">
        <v>4</v>
      </c>
      <c r="B121" s="3">
        <v>14.21512107161257</v>
      </c>
      <c r="C121" s="3">
        <v>8.0509496695548126</v>
      </c>
      <c r="D121" s="3">
        <v>2.0050000000000003</v>
      </c>
    </row>
    <row r="122" spans="1:4" x14ac:dyDescent="0.35">
      <c r="A122" s="16">
        <v>5</v>
      </c>
      <c r="B122" s="3">
        <v>17.820103775667921</v>
      </c>
      <c r="C122" s="3">
        <v>8.604249616843866</v>
      </c>
      <c r="D122" s="3">
        <v>1.9835714285714279</v>
      </c>
    </row>
    <row r="123" spans="1:4" x14ac:dyDescent="0.35">
      <c r="A123" s="16" t="s">
        <v>103</v>
      </c>
      <c r="B123" s="3">
        <v>16.315739309634214</v>
      </c>
      <c r="C123" s="3">
        <v>7.9860605398694604</v>
      </c>
      <c r="D123" s="3">
        <v>1.9453333333333334</v>
      </c>
    </row>
    <row r="124" spans="1:4" x14ac:dyDescent="0.35">
      <c r="B124" s="9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Insights_Summary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 Mishra</cp:lastModifiedBy>
  <dcterms:created xsi:type="dcterms:W3CDTF">2025-04-15T13:44:01Z</dcterms:created>
  <dcterms:modified xsi:type="dcterms:W3CDTF">2025-12-29T11:20:38Z</dcterms:modified>
</cp:coreProperties>
</file>